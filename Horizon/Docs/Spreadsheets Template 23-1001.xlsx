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drawings/drawing11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1_\Desktop\CRS Docs\"/>
    </mc:Choice>
  </mc:AlternateContent>
  <xr:revisionPtr revIDLastSave="0" documentId="8_{7EC44047-2FC5-4E7D-A7EC-6646E1D8A2CD}" xr6:coauthVersionLast="47" xr6:coauthVersionMax="47" xr10:uidLastSave="{00000000-0000-0000-0000-000000000000}"/>
  <bookViews>
    <workbookView xWindow="46695" yWindow="4335" windowWidth="28800" windowHeight="15345" tabRatio="755" xr2:uid="{D57A430E-015E-4C15-994F-411E9DF7EDFF}"/>
  </bookViews>
  <sheets>
    <sheet name="Roofs 1" sheetId="12" r:id="rId1"/>
    <sheet name="Maintain (PRN) 1" sheetId="15" state="hidden" r:id="rId2"/>
    <sheet name="Maintain (PRN) 2" sheetId="28" state="hidden" r:id="rId3"/>
    <sheet name="Roofs 2" sheetId="36" r:id="rId4"/>
    <sheet name="Roofs 3" sheetId="37" r:id="rId5"/>
    <sheet name="Combo 1" sheetId="7" r:id="rId6"/>
    <sheet name="Combo 2" sheetId="29" state="hidden" r:id="rId7"/>
    <sheet name="Funding Plan" sheetId="23" r:id="rId8"/>
    <sheet name="Funding Plan 2" sheetId="30" state="hidden" r:id="rId9"/>
    <sheet name="Allocation" sheetId="5" r:id="rId10"/>
    <sheet name="Contributions" sheetId="32" r:id="rId11"/>
    <sheet name="Component %" sheetId="33" state="hidden" r:id="rId12"/>
    <sheet name="Mgmt Info" sheetId="34" r:id="rId13"/>
    <sheet name="Pie" sheetId="6" r:id="rId14"/>
    <sheet name="Graph" sheetId="9" r:id="rId15"/>
  </sheets>
  <definedNames>
    <definedName name="_xlnm.Print_Area" localSheetId="5">'Combo 1'!$A$1:$AZ$107</definedName>
    <definedName name="_xlnm.Print_Area" localSheetId="6">'Combo 2'!$A$1:$AZ$58</definedName>
    <definedName name="_xlnm.Print_Area" localSheetId="1">'Maintain (PRN) 1'!$A$1:$AY$71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36" l="1"/>
  <c r="H5" i="12"/>
  <c r="H102" i="37"/>
  <c r="H100" i="37"/>
  <c r="D100" i="37"/>
  <c r="H99" i="37"/>
  <c r="D99" i="37"/>
  <c r="H98" i="37"/>
  <c r="D98" i="37"/>
  <c r="H97" i="37"/>
  <c r="D97" i="37"/>
  <c r="H96" i="37"/>
  <c r="D96" i="37"/>
  <c r="H95" i="37"/>
  <c r="D95" i="37"/>
  <c r="H94" i="37"/>
  <c r="D94" i="37"/>
  <c r="H93" i="37"/>
  <c r="D93" i="37"/>
  <c r="H92" i="37"/>
  <c r="D92" i="37"/>
  <c r="H91" i="37"/>
  <c r="D91" i="37"/>
  <c r="H90" i="37"/>
  <c r="D90" i="37"/>
  <c r="H89" i="37"/>
  <c r="D89" i="37"/>
  <c r="H88" i="37"/>
  <c r="D88" i="37"/>
  <c r="H87" i="37"/>
  <c r="D87" i="37"/>
  <c r="H86" i="37"/>
  <c r="D86" i="37"/>
  <c r="H85" i="37"/>
  <c r="D85" i="37"/>
  <c r="H84" i="37"/>
  <c r="D84" i="37"/>
  <c r="H83" i="37"/>
  <c r="D83" i="37"/>
  <c r="H82" i="37"/>
  <c r="D82" i="37"/>
  <c r="H81" i="37"/>
  <c r="D81" i="37"/>
  <c r="H80" i="37"/>
  <c r="D80" i="37"/>
  <c r="H79" i="37"/>
  <c r="D79" i="37"/>
  <c r="H78" i="37"/>
  <c r="D78" i="37"/>
  <c r="H77" i="37"/>
  <c r="D77" i="37"/>
  <c r="H76" i="37"/>
  <c r="D76" i="37"/>
  <c r="H75" i="37"/>
  <c r="D75" i="37"/>
  <c r="H74" i="37"/>
  <c r="D74" i="37"/>
  <c r="H73" i="37"/>
  <c r="D73" i="37"/>
  <c r="H72" i="37"/>
  <c r="D72" i="37"/>
  <c r="H71" i="37"/>
  <c r="D71" i="37"/>
  <c r="H70" i="37"/>
  <c r="D70" i="37"/>
  <c r="H69" i="37"/>
  <c r="D69" i="37"/>
  <c r="H68" i="37"/>
  <c r="D68" i="37"/>
  <c r="H67" i="37"/>
  <c r="D67" i="37"/>
  <c r="H66" i="37"/>
  <c r="D66" i="37"/>
  <c r="H65" i="37"/>
  <c r="D65" i="37"/>
  <c r="H64" i="37"/>
  <c r="F64" i="37"/>
  <c r="D64" i="37"/>
  <c r="H63" i="37"/>
  <c r="D63" i="37"/>
  <c r="H62" i="37"/>
  <c r="F62" i="37"/>
  <c r="D62" i="37"/>
  <c r="B62" i="37"/>
  <c r="H61" i="37"/>
  <c r="F61" i="37"/>
  <c r="D61" i="37"/>
  <c r="B61" i="37"/>
  <c r="H59" i="37"/>
  <c r="W57" i="37"/>
  <c r="Y57" i="37"/>
  <c r="AA57" i="37"/>
  <c r="U57" i="37"/>
  <c r="M57" i="37"/>
  <c r="O57" i="37"/>
  <c r="Q57" i="37"/>
  <c r="K57" i="37"/>
  <c r="T56" i="37"/>
  <c r="P50" i="37"/>
  <c r="P49" i="37"/>
  <c r="P48" i="37"/>
  <c r="P47" i="37"/>
  <c r="P46" i="37"/>
  <c r="P45" i="37"/>
  <c r="P44" i="37"/>
  <c r="P43" i="37"/>
  <c r="P42" i="37"/>
  <c r="P41" i="37"/>
  <c r="P40" i="37"/>
  <c r="P39" i="37"/>
  <c r="P38" i="37"/>
  <c r="P37" i="37"/>
  <c r="P36" i="37"/>
  <c r="P35" i="37"/>
  <c r="P34" i="37"/>
  <c r="P33" i="37"/>
  <c r="P32" i="37"/>
  <c r="P31" i="37"/>
  <c r="P30" i="37"/>
  <c r="P29" i="37"/>
  <c r="P28" i="37"/>
  <c r="P27" i="37"/>
  <c r="P26" i="37"/>
  <c r="P25" i="37"/>
  <c r="P24" i="37"/>
  <c r="P23" i="37"/>
  <c r="P22" i="37"/>
  <c r="P21" i="37"/>
  <c r="P20" i="37"/>
  <c r="P19" i="37"/>
  <c r="P18" i="37"/>
  <c r="P17" i="37"/>
  <c r="P16" i="37"/>
  <c r="P15" i="37"/>
  <c r="O15" i="37"/>
  <c r="O16" i="37"/>
  <c r="O17" i="37"/>
  <c r="O18" i="37"/>
  <c r="O19" i="37"/>
  <c r="O20" i="37"/>
  <c r="O21" i="37"/>
  <c r="O22" i="37"/>
  <c r="N15" i="37"/>
  <c r="L15" i="37"/>
  <c r="L16" i="37"/>
  <c r="L17" i="37"/>
  <c r="L18" i="37"/>
  <c r="L19" i="37"/>
  <c r="L20" i="37"/>
  <c r="L21" i="37"/>
  <c r="L22" i="37"/>
  <c r="L23" i="37"/>
  <c r="L24" i="37"/>
  <c r="L25" i="37"/>
  <c r="L26" i="37"/>
  <c r="L27" i="37"/>
  <c r="L28" i="37"/>
  <c r="L29" i="37"/>
  <c r="L30" i="37"/>
  <c r="L31" i="37"/>
  <c r="L32" i="37"/>
  <c r="L33" i="37"/>
  <c r="L34" i="37"/>
  <c r="L35" i="37"/>
  <c r="L36" i="37"/>
  <c r="L37" i="37"/>
  <c r="L38" i="37"/>
  <c r="L39" i="37"/>
  <c r="L40" i="37"/>
  <c r="L41" i="37"/>
  <c r="L42" i="37"/>
  <c r="L43" i="37"/>
  <c r="L44" i="37"/>
  <c r="L45" i="37"/>
  <c r="L46" i="37"/>
  <c r="L47" i="37"/>
  <c r="L48" i="37"/>
  <c r="L49" i="37"/>
  <c r="L50" i="37"/>
  <c r="P14" i="37"/>
  <c r="O14" i="37"/>
  <c r="L14" i="37"/>
  <c r="F14" i="37"/>
  <c r="F15" i="37"/>
  <c r="T13" i="37"/>
  <c r="P13" i="37"/>
  <c r="N13" i="37"/>
  <c r="AH13" i="37"/>
  <c r="O13" i="37"/>
  <c r="L13" i="37"/>
  <c r="F13" i="37"/>
  <c r="F63" i="37"/>
  <c r="R12" i="37"/>
  <c r="R13" i="37"/>
  <c r="R14" i="37"/>
  <c r="P12" i="37"/>
  <c r="N12" i="37"/>
  <c r="O12" i="37"/>
  <c r="L12" i="37"/>
  <c r="F12" i="37"/>
  <c r="B12" i="37"/>
  <c r="B13" i="37"/>
  <c r="AJ11" i="37"/>
  <c r="AH11" i="37"/>
  <c r="T11" i="37"/>
  <c r="P11" i="37"/>
  <c r="O11" i="37"/>
  <c r="N11" i="37"/>
  <c r="AE7" i="37"/>
  <c r="AG7" i="37"/>
  <c r="AI7" i="37"/>
  <c r="AK7" i="37"/>
  <c r="AM7" i="37"/>
  <c r="AO7" i="37"/>
  <c r="AQ7" i="37"/>
  <c r="AS7" i="37"/>
  <c r="AU7" i="37"/>
  <c r="AW7" i="37"/>
  <c r="AY7" i="37"/>
  <c r="AC7" i="37"/>
  <c r="AA7" i="37"/>
  <c r="H102" i="36"/>
  <c r="H100" i="36"/>
  <c r="D100" i="36"/>
  <c r="H99" i="36"/>
  <c r="D99" i="36"/>
  <c r="H98" i="36"/>
  <c r="D98" i="36"/>
  <c r="H97" i="36"/>
  <c r="D97" i="36"/>
  <c r="H96" i="36"/>
  <c r="D96" i="36"/>
  <c r="H95" i="36"/>
  <c r="D95" i="36"/>
  <c r="H94" i="36"/>
  <c r="D94" i="36"/>
  <c r="H93" i="36"/>
  <c r="D93" i="36"/>
  <c r="H92" i="36"/>
  <c r="D92" i="36"/>
  <c r="H91" i="36"/>
  <c r="D91" i="36"/>
  <c r="H90" i="36"/>
  <c r="D90" i="36"/>
  <c r="H89" i="36"/>
  <c r="D89" i="36"/>
  <c r="H88" i="36"/>
  <c r="D88" i="36"/>
  <c r="H87" i="36"/>
  <c r="D87" i="36"/>
  <c r="H86" i="36"/>
  <c r="D86" i="36"/>
  <c r="H85" i="36"/>
  <c r="D85" i="36"/>
  <c r="H84" i="36"/>
  <c r="D84" i="36"/>
  <c r="H83" i="36"/>
  <c r="D83" i="36"/>
  <c r="H82" i="36"/>
  <c r="D82" i="36"/>
  <c r="H81" i="36"/>
  <c r="D81" i="36"/>
  <c r="H80" i="36"/>
  <c r="D80" i="36"/>
  <c r="H79" i="36"/>
  <c r="D79" i="36"/>
  <c r="H78" i="36"/>
  <c r="D78" i="36"/>
  <c r="H77" i="36"/>
  <c r="D77" i="36"/>
  <c r="H76" i="36"/>
  <c r="D76" i="36"/>
  <c r="H75" i="36"/>
  <c r="D75" i="36"/>
  <c r="H74" i="36"/>
  <c r="D74" i="36"/>
  <c r="H73" i="36"/>
  <c r="D73" i="36"/>
  <c r="H72" i="36"/>
  <c r="D72" i="36"/>
  <c r="H71" i="36"/>
  <c r="D71" i="36"/>
  <c r="H70" i="36"/>
  <c r="D70" i="36"/>
  <c r="H69" i="36"/>
  <c r="D69" i="36"/>
  <c r="H68" i="36"/>
  <c r="D68" i="36"/>
  <c r="H67" i="36"/>
  <c r="D67" i="36"/>
  <c r="H66" i="36"/>
  <c r="D66" i="36"/>
  <c r="H65" i="36"/>
  <c r="D65" i="36"/>
  <c r="H64" i="36"/>
  <c r="D64" i="36"/>
  <c r="H63" i="36"/>
  <c r="D63" i="36"/>
  <c r="H62" i="36"/>
  <c r="F62" i="36"/>
  <c r="D62" i="36"/>
  <c r="B62" i="36"/>
  <c r="H61" i="36"/>
  <c r="F61" i="36"/>
  <c r="D61" i="36"/>
  <c r="B61" i="36"/>
  <c r="H59" i="36"/>
  <c r="U57" i="36"/>
  <c r="W57" i="36"/>
  <c r="Y57" i="36"/>
  <c r="AA57" i="36"/>
  <c r="K57" i="36"/>
  <c r="M57" i="36"/>
  <c r="O57" i="36"/>
  <c r="Q57" i="36"/>
  <c r="T56" i="36"/>
  <c r="P50" i="36"/>
  <c r="P49" i="36"/>
  <c r="P48" i="36"/>
  <c r="P47" i="36"/>
  <c r="P46" i="36"/>
  <c r="P45" i="36"/>
  <c r="P44" i="36"/>
  <c r="P43" i="36"/>
  <c r="P42" i="36"/>
  <c r="P41" i="36"/>
  <c r="P40" i="36"/>
  <c r="P39" i="36"/>
  <c r="P38" i="36"/>
  <c r="P37" i="36"/>
  <c r="P36" i="36"/>
  <c r="P35" i="36"/>
  <c r="P34" i="36"/>
  <c r="P33" i="36"/>
  <c r="P32" i="36"/>
  <c r="P31" i="36"/>
  <c r="P30" i="36"/>
  <c r="P29" i="36"/>
  <c r="P28" i="36"/>
  <c r="P27" i="36"/>
  <c r="P26" i="36"/>
  <c r="P25" i="36"/>
  <c r="P24" i="36"/>
  <c r="P23" i="36"/>
  <c r="P22" i="36"/>
  <c r="P21" i="36"/>
  <c r="P20" i="36"/>
  <c r="P19" i="36"/>
  <c r="P18" i="36"/>
  <c r="P17" i="36"/>
  <c r="P16" i="36"/>
  <c r="R15" i="36"/>
  <c r="P15" i="36"/>
  <c r="P14" i="36"/>
  <c r="B14" i="36"/>
  <c r="B15" i="36"/>
  <c r="R13" i="36"/>
  <c r="R14" i="36"/>
  <c r="T14" i="36"/>
  <c r="P13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43" i="36"/>
  <c r="L44" i="36"/>
  <c r="L45" i="36"/>
  <c r="L46" i="36"/>
  <c r="L47" i="36"/>
  <c r="L48" i="36"/>
  <c r="L49" i="36"/>
  <c r="L50" i="36"/>
  <c r="F13" i="36"/>
  <c r="B13" i="36"/>
  <c r="B63" i="36"/>
  <c r="R12" i="36"/>
  <c r="T12" i="36"/>
  <c r="P12" i="36"/>
  <c r="L12" i="36"/>
  <c r="F12" i="36"/>
  <c r="B12" i="36"/>
  <c r="AZ11" i="36"/>
  <c r="AX11" i="36"/>
  <c r="AV11" i="36"/>
  <c r="AT11" i="36"/>
  <c r="T11" i="36"/>
  <c r="P11" i="36"/>
  <c r="O11" i="36"/>
  <c r="O12" i="36"/>
  <c r="N11" i="36"/>
  <c r="L61" i="36"/>
  <c r="AA7" i="36"/>
  <c r="AC7" i="36"/>
  <c r="AE7" i="36"/>
  <c r="AG7" i="36"/>
  <c r="AI7" i="36"/>
  <c r="AK7" i="36"/>
  <c r="AM7" i="36"/>
  <c r="AO7" i="36"/>
  <c r="AQ7" i="36"/>
  <c r="AS7" i="36"/>
  <c r="AU7" i="36"/>
  <c r="AW7" i="36"/>
  <c r="AY7" i="36"/>
  <c r="F13" i="12"/>
  <c r="F14" i="12"/>
  <c r="F15" i="12"/>
  <c r="F12" i="12"/>
  <c r="R13" i="12"/>
  <c r="R14" i="12"/>
  <c r="R15" i="12"/>
  <c r="R16" i="12"/>
  <c r="R17" i="12"/>
  <c r="R18" i="12"/>
  <c r="R19" i="12"/>
  <c r="T19" i="12"/>
  <c r="R20" i="12"/>
  <c r="R21" i="12"/>
  <c r="R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12" i="12"/>
  <c r="K23" i="23"/>
  <c r="AI48" i="23"/>
  <c r="AI46" i="23"/>
  <c r="AI47" i="23"/>
  <c r="AK43" i="23"/>
  <c r="AI43" i="23"/>
  <c r="AG43" i="23"/>
  <c r="AE43" i="23"/>
  <c r="AC43" i="23"/>
  <c r="AA43" i="23"/>
  <c r="Y43" i="23"/>
  <c r="W43" i="23"/>
  <c r="U43" i="23"/>
  <c r="S43" i="23"/>
  <c r="Q43" i="23"/>
  <c r="O43" i="23"/>
  <c r="M43" i="23"/>
  <c r="K43" i="23"/>
  <c r="I43" i="23"/>
  <c r="AK26" i="23"/>
  <c r="AI26" i="23"/>
  <c r="AG26" i="23"/>
  <c r="AE26" i="23"/>
  <c r="AC26" i="23"/>
  <c r="AA26" i="23"/>
  <c r="Y26" i="23"/>
  <c r="W26" i="23"/>
  <c r="U26" i="23"/>
  <c r="S26" i="23"/>
  <c r="Q26" i="23"/>
  <c r="O26" i="23"/>
  <c r="M26" i="23"/>
  <c r="K26" i="23"/>
  <c r="AK41" i="23"/>
  <c r="AI41" i="23"/>
  <c r="AG41" i="23"/>
  <c r="AE41" i="23"/>
  <c r="AC41" i="23"/>
  <c r="AA41" i="23"/>
  <c r="Y41" i="23"/>
  <c r="W41" i="23"/>
  <c r="U41" i="23"/>
  <c r="S41" i="23"/>
  <c r="Q41" i="23"/>
  <c r="O41" i="23"/>
  <c r="M41" i="23"/>
  <c r="K41" i="23"/>
  <c r="I41" i="23"/>
  <c r="K24" i="23"/>
  <c r="M24" i="23"/>
  <c r="O24" i="23"/>
  <c r="Q24" i="23"/>
  <c r="S24" i="23"/>
  <c r="U24" i="23"/>
  <c r="W24" i="23"/>
  <c r="Y24" i="23"/>
  <c r="AA24" i="23"/>
  <c r="AC24" i="23"/>
  <c r="AE24" i="23"/>
  <c r="AG24" i="23"/>
  <c r="AI24" i="23"/>
  <c r="AK24" i="23"/>
  <c r="AK40" i="23"/>
  <c r="AI40" i="23"/>
  <c r="AG40" i="23"/>
  <c r="AE40" i="23"/>
  <c r="AC40" i="23"/>
  <c r="AA40" i="23"/>
  <c r="Y40" i="23"/>
  <c r="W40" i="23"/>
  <c r="U40" i="23"/>
  <c r="S40" i="23"/>
  <c r="Q40" i="23"/>
  <c r="O40" i="23"/>
  <c r="M40" i="23"/>
  <c r="K40" i="23"/>
  <c r="I40" i="23"/>
  <c r="AK23" i="23"/>
  <c r="AI23" i="23"/>
  <c r="AG23" i="23"/>
  <c r="AE23" i="23"/>
  <c r="AC23" i="23"/>
  <c r="AA23" i="23"/>
  <c r="Y23" i="23"/>
  <c r="W23" i="23"/>
  <c r="U23" i="23"/>
  <c r="S23" i="23"/>
  <c r="Q23" i="23"/>
  <c r="O23" i="23"/>
  <c r="M23" i="23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11" i="12"/>
  <c r="M64" i="7"/>
  <c r="O64" i="7"/>
  <c r="Q64" i="7"/>
  <c r="M65" i="7"/>
  <c r="O65" i="7"/>
  <c r="Q65" i="7"/>
  <c r="M66" i="7"/>
  <c r="O66" i="7"/>
  <c r="Q66" i="7"/>
  <c r="M67" i="7"/>
  <c r="O67" i="7"/>
  <c r="Q67" i="7"/>
  <c r="M68" i="7"/>
  <c r="O68" i="7"/>
  <c r="Q68" i="7"/>
  <c r="M69" i="7"/>
  <c r="O69" i="7"/>
  <c r="Q69" i="7"/>
  <c r="M70" i="7"/>
  <c r="O70" i="7"/>
  <c r="Q70" i="7"/>
  <c r="M71" i="7"/>
  <c r="O71" i="7"/>
  <c r="Q71" i="7"/>
  <c r="M72" i="7"/>
  <c r="O72" i="7"/>
  <c r="Q72" i="7"/>
  <c r="M73" i="7"/>
  <c r="O73" i="7"/>
  <c r="Q73" i="7"/>
  <c r="M74" i="7"/>
  <c r="O74" i="7"/>
  <c r="Q74" i="7"/>
  <c r="M75" i="7"/>
  <c r="O75" i="7"/>
  <c r="Q75" i="7"/>
  <c r="M76" i="7"/>
  <c r="O76" i="7"/>
  <c r="Q76" i="7"/>
  <c r="M77" i="7"/>
  <c r="O77" i="7"/>
  <c r="Q77" i="7"/>
  <c r="M78" i="7"/>
  <c r="O78" i="7"/>
  <c r="Q78" i="7"/>
  <c r="M79" i="7"/>
  <c r="O79" i="7"/>
  <c r="Q79" i="7"/>
  <c r="M80" i="7"/>
  <c r="O80" i="7"/>
  <c r="Q80" i="7"/>
  <c r="M81" i="7"/>
  <c r="O81" i="7"/>
  <c r="Q81" i="7"/>
  <c r="M82" i="7"/>
  <c r="O82" i="7"/>
  <c r="Q82" i="7"/>
  <c r="M83" i="7"/>
  <c r="O83" i="7"/>
  <c r="Q83" i="7"/>
  <c r="M84" i="7"/>
  <c r="O84" i="7"/>
  <c r="Q84" i="7"/>
  <c r="M85" i="7"/>
  <c r="O85" i="7"/>
  <c r="Q85" i="7"/>
  <c r="M86" i="7"/>
  <c r="O86" i="7"/>
  <c r="Q86" i="7"/>
  <c r="M87" i="7"/>
  <c r="O87" i="7"/>
  <c r="Q87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65" i="7"/>
  <c r="K64" i="7"/>
  <c r="C96" i="7"/>
  <c r="C97" i="7"/>
  <c r="C98" i="7"/>
  <c r="C99" i="7"/>
  <c r="C100" i="7"/>
  <c r="C101" i="7"/>
  <c r="C102" i="7"/>
  <c r="C103" i="7"/>
  <c r="C104" i="7"/>
  <c r="C95" i="7"/>
  <c r="C94" i="7"/>
  <c r="C93" i="7"/>
  <c r="E96" i="7"/>
  <c r="E97" i="7"/>
  <c r="E98" i="7"/>
  <c r="E99" i="7"/>
  <c r="E100" i="7"/>
  <c r="E101" i="7"/>
  <c r="E102" i="7"/>
  <c r="E103" i="7"/>
  <c r="E104" i="7"/>
  <c r="E95" i="7"/>
  <c r="E94" i="7"/>
  <c r="E93" i="7"/>
  <c r="G96" i="7"/>
  <c r="G97" i="7"/>
  <c r="G98" i="7"/>
  <c r="G99" i="7"/>
  <c r="G100" i="7"/>
  <c r="G101" i="7"/>
  <c r="G102" i="7"/>
  <c r="G103" i="7"/>
  <c r="G104" i="7"/>
  <c r="G95" i="7"/>
  <c r="G94" i="7"/>
  <c r="G93" i="7"/>
  <c r="W49" i="7"/>
  <c r="W50" i="7"/>
  <c r="S43" i="7"/>
  <c r="W43" i="7"/>
  <c r="S44" i="7"/>
  <c r="S45" i="7"/>
  <c r="W45" i="7"/>
  <c r="S46" i="7"/>
  <c r="W46" i="7"/>
  <c r="S47" i="7"/>
  <c r="W47" i="7"/>
  <c r="S48" i="7"/>
  <c r="W48" i="7"/>
  <c r="S49" i="7"/>
  <c r="S50" i="7"/>
  <c r="S51" i="7"/>
  <c r="W51" i="7"/>
  <c r="Y23" i="7"/>
  <c r="AA23" i="7"/>
  <c r="AC23" i="7"/>
  <c r="AE23" i="7"/>
  <c r="AG23" i="7"/>
  <c r="AI23" i="7"/>
  <c r="AK23" i="7"/>
  <c r="AM23" i="7"/>
  <c r="AO23" i="7"/>
  <c r="AQ23" i="7"/>
  <c r="AS23" i="7"/>
  <c r="AU23" i="7"/>
  <c r="AW23" i="7"/>
  <c r="AY23" i="7"/>
  <c r="Y24" i="7"/>
  <c r="AA24" i="7"/>
  <c r="AC24" i="7"/>
  <c r="AE24" i="7"/>
  <c r="AG24" i="7"/>
  <c r="AI24" i="7"/>
  <c r="AK24" i="7"/>
  <c r="AM24" i="7"/>
  <c r="AO24" i="7"/>
  <c r="AQ24" i="7"/>
  <c r="AS24" i="7"/>
  <c r="AU24" i="7"/>
  <c r="AW24" i="7"/>
  <c r="AY24" i="7"/>
  <c r="Y25" i="7"/>
  <c r="AA25" i="7"/>
  <c r="AC25" i="7"/>
  <c r="AE25" i="7"/>
  <c r="AG25" i="7"/>
  <c r="AI25" i="7"/>
  <c r="AK25" i="7"/>
  <c r="AM25" i="7"/>
  <c r="AO25" i="7"/>
  <c r="AQ25" i="7"/>
  <c r="AS25" i="7"/>
  <c r="AU25" i="7"/>
  <c r="AW25" i="7"/>
  <c r="AY25" i="7"/>
  <c r="Y26" i="7"/>
  <c r="AA26" i="7"/>
  <c r="AC26" i="7"/>
  <c r="AE26" i="7"/>
  <c r="AG26" i="7"/>
  <c r="AI26" i="7"/>
  <c r="AK26" i="7"/>
  <c r="AM26" i="7"/>
  <c r="AO26" i="7"/>
  <c r="AQ26" i="7"/>
  <c r="AS26" i="7"/>
  <c r="AU26" i="7"/>
  <c r="AW26" i="7"/>
  <c r="AY26" i="7"/>
  <c r="Y27" i="7"/>
  <c r="AA27" i="7"/>
  <c r="AC27" i="7"/>
  <c r="AE27" i="7"/>
  <c r="AG27" i="7"/>
  <c r="AI27" i="7"/>
  <c r="AK27" i="7"/>
  <c r="AM27" i="7"/>
  <c r="AO27" i="7"/>
  <c r="AQ27" i="7"/>
  <c r="AS27" i="7"/>
  <c r="AU27" i="7"/>
  <c r="AW27" i="7"/>
  <c r="AY27" i="7"/>
  <c r="Y28" i="7"/>
  <c r="AA28" i="7"/>
  <c r="AC28" i="7"/>
  <c r="AE28" i="7"/>
  <c r="AG28" i="7"/>
  <c r="AI28" i="7"/>
  <c r="AK28" i="7"/>
  <c r="AM28" i="7"/>
  <c r="AO28" i="7"/>
  <c r="AQ28" i="7"/>
  <c r="AS28" i="7"/>
  <c r="AU28" i="7"/>
  <c r="AW28" i="7"/>
  <c r="AY28" i="7"/>
  <c r="Y29" i="7"/>
  <c r="AA29" i="7"/>
  <c r="AC29" i="7"/>
  <c r="AE29" i="7"/>
  <c r="AG29" i="7"/>
  <c r="AI29" i="7"/>
  <c r="AK29" i="7"/>
  <c r="AM29" i="7"/>
  <c r="AO29" i="7"/>
  <c r="AQ29" i="7"/>
  <c r="AS29" i="7"/>
  <c r="AU29" i="7"/>
  <c r="AW29" i="7"/>
  <c r="AY29" i="7"/>
  <c r="Y30" i="7"/>
  <c r="AA30" i="7"/>
  <c r="AC30" i="7"/>
  <c r="AE30" i="7"/>
  <c r="AG30" i="7"/>
  <c r="AI30" i="7"/>
  <c r="AK30" i="7"/>
  <c r="AM30" i="7"/>
  <c r="AO30" i="7"/>
  <c r="AQ30" i="7"/>
  <c r="AS30" i="7"/>
  <c r="AU30" i="7"/>
  <c r="AW30" i="7"/>
  <c r="AY30" i="7"/>
  <c r="Y31" i="7"/>
  <c r="AA31" i="7"/>
  <c r="AC31" i="7"/>
  <c r="AE31" i="7"/>
  <c r="AG31" i="7"/>
  <c r="AI31" i="7"/>
  <c r="AK31" i="7"/>
  <c r="AM31" i="7"/>
  <c r="AO31" i="7"/>
  <c r="AQ31" i="7"/>
  <c r="AS31" i="7"/>
  <c r="AU31" i="7"/>
  <c r="AW31" i="7"/>
  <c r="AY31" i="7"/>
  <c r="Y32" i="7"/>
  <c r="AA32" i="7"/>
  <c r="AC32" i="7"/>
  <c r="AE32" i="7"/>
  <c r="AG32" i="7"/>
  <c r="AI32" i="7"/>
  <c r="AK32" i="7"/>
  <c r="AM32" i="7"/>
  <c r="AO32" i="7"/>
  <c r="AQ32" i="7"/>
  <c r="AS32" i="7"/>
  <c r="AU32" i="7"/>
  <c r="AW32" i="7"/>
  <c r="AY32" i="7"/>
  <c r="Y33" i="7"/>
  <c r="AA33" i="7"/>
  <c r="AC33" i="7"/>
  <c r="AE33" i="7"/>
  <c r="AG33" i="7"/>
  <c r="AI33" i="7"/>
  <c r="AK33" i="7"/>
  <c r="AM33" i="7"/>
  <c r="AO33" i="7"/>
  <c r="AQ33" i="7"/>
  <c r="AS33" i="7"/>
  <c r="AU33" i="7"/>
  <c r="AW33" i="7"/>
  <c r="AY33" i="7"/>
  <c r="Y34" i="7"/>
  <c r="AA34" i="7"/>
  <c r="AC34" i="7"/>
  <c r="AE34" i="7"/>
  <c r="AG34" i="7"/>
  <c r="AI34" i="7"/>
  <c r="AK34" i="7"/>
  <c r="AM34" i="7"/>
  <c r="AO34" i="7"/>
  <c r="AQ34" i="7"/>
  <c r="AS34" i="7"/>
  <c r="AU34" i="7"/>
  <c r="AW34" i="7"/>
  <c r="AY34" i="7"/>
  <c r="Y35" i="7"/>
  <c r="AA35" i="7"/>
  <c r="AC35" i="7"/>
  <c r="AE35" i="7"/>
  <c r="AG35" i="7"/>
  <c r="AI35" i="7"/>
  <c r="AK35" i="7"/>
  <c r="AM35" i="7"/>
  <c r="AO35" i="7"/>
  <c r="AQ35" i="7"/>
  <c r="AS35" i="7"/>
  <c r="AU35" i="7"/>
  <c r="AW35" i="7"/>
  <c r="AY35" i="7"/>
  <c r="Y36" i="7"/>
  <c r="AA36" i="7"/>
  <c r="AC36" i="7"/>
  <c r="AE36" i="7"/>
  <c r="AG36" i="7"/>
  <c r="AI36" i="7"/>
  <c r="AK36" i="7"/>
  <c r="AM36" i="7"/>
  <c r="AO36" i="7"/>
  <c r="AQ36" i="7"/>
  <c r="AS36" i="7"/>
  <c r="AU36" i="7"/>
  <c r="AW36" i="7"/>
  <c r="AY36" i="7"/>
  <c r="Y37" i="7"/>
  <c r="AA37" i="7"/>
  <c r="AC37" i="7"/>
  <c r="AE37" i="7"/>
  <c r="AG37" i="7"/>
  <c r="AI37" i="7"/>
  <c r="AK37" i="7"/>
  <c r="AM37" i="7"/>
  <c r="AO37" i="7"/>
  <c r="AQ37" i="7"/>
  <c r="AS37" i="7"/>
  <c r="AU37" i="7"/>
  <c r="AW37" i="7"/>
  <c r="AY37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Y20" i="7"/>
  <c r="AA20" i="7"/>
  <c r="AC20" i="7"/>
  <c r="AE20" i="7"/>
  <c r="AG20" i="7"/>
  <c r="AI20" i="7"/>
  <c r="AK20" i="7"/>
  <c r="AM20" i="7"/>
  <c r="AO20" i="7"/>
  <c r="AQ20" i="7"/>
  <c r="AS20" i="7"/>
  <c r="AU20" i="7"/>
  <c r="AW20" i="7"/>
  <c r="AY20" i="7"/>
  <c r="Y21" i="7"/>
  <c r="AA21" i="7"/>
  <c r="AC21" i="7"/>
  <c r="AE21" i="7"/>
  <c r="AG21" i="7"/>
  <c r="AI21" i="7"/>
  <c r="AK21" i="7"/>
  <c r="AM21" i="7"/>
  <c r="AO21" i="7"/>
  <c r="AQ21" i="7"/>
  <c r="AS21" i="7"/>
  <c r="AU21" i="7"/>
  <c r="AW21" i="7"/>
  <c r="AY21" i="7"/>
  <c r="Y22" i="7"/>
  <c r="AA22" i="7"/>
  <c r="AC22" i="7"/>
  <c r="AE22" i="7"/>
  <c r="AG22" i="7"/>
  <c r="AI22" i="7"/>
  <c r="AK22" i="7"/>
  <c r="AM22" i="7"/>
  <c r="AO22" i="7"/>
  <c r="AQ22" i="7"/>
  <c r="AS22" i="7"/>
  <c r="AU22" i="7"/>
  <c r="AW22" i="7"/>
  <c r="AY22" i="7"/>
  <c r="C70" i="7"/>
  <c r="E70" i="7"/>
  <c r="G70" i="7"/>
  <c r="C71" i="7"/>
  <c r="E71" i="7"/>
  <c r="G71" i="7"/>
  <c r="C72" i="7"/>
  <c r="E72" i="7"/>
  <c r="G72" i="7"/>
  <c r="C73" i="7"/>
  <c r="E73" i="7"/>
  <c r="G73" i="7"/>
  <c r="C74" i="7"/>
  <c r="E74" i="7"/>
  <c r="G74" i="7"/>
  <c r="C75" i="7"/>
  <c r="E75" i="7"/>
  <c r="G75" i="7"/>
  <c r="C76" i="7"/>
  <c r="E76" i="7"/>
  <c r="G76" i="7"/>
  <c r="C77" i="7"/>
  <c r="E77" i="7"/>
  <c r="G77" i="7"/>
  <c r="C78" i="7"/>
  <c r="E78" i="7"/>
  <c r="G78" i="7"/>
  <c r="C79" i="7"/>
  <c r="E79" i="7"/>
  <c r="G79" i="7"/>
  <c r="C80" i="7"/>
  <c r="E80" i="7"/>
  <c r="G80" i="7"/>
  <c r="C81" i="7"/>
  <c r="E81" i="7"/>
  <c r="G81" i="7"/>
  <c r="C82" i="7"/>
  <c r="E82" i="7"/>
  <c r="G82" i="7"/>
  <c r="C83" i="7"/>
  <c r="E83" i="7"/>
  <c r="G83" i="7"/>
  <c r="C84" i="7"/>
  <c r="E84" i="7"/>
  <c r="G84" i="7"/>
  <c r="C85" i="7"/>
  <c r="E85" i="7"/>
  <c r="G85" i="7"/>
  <c r="C86" i="7"/>
  <c r="E86" i="7"/>
  <c r="G86" i="7"/>
  <c r="C87" i="7"/>
  <c r="E87" i="7"/>
  <c r="G87" i="7"/>
  <c r="S36" i="7"/>
  <c r="S3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N25" i="29"/>
  <c r="N26" i="29"/>
  <c r="N27" i="29"/>
  <c r="N28" i="29"/>
  <c r="N29" i="29"/>
  <c r="N30" i="29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14" i="29"/>
  <c r="N15" i="29"/>
  <c r="N16" i="29"/>
  <c r="N17" i="29"/>
  <c r="N18" i="29"/>
  <c r="N19" i="29"/>
  <c r="N20" i="29"/>
  <c r="N21" i="29"/>
  <c r="N22" i="29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O11" i="12"/>
  <c r="G58" i="29"/>
  <c r="G56" i="29"/>
  <c r="E56" i="29"/>
  <c r="C56" i="29"/>
  <c r="G55" i="29"/>
  <c r="E55" i="29"/>
  <c r="C55" i="29"/>
  <c r="G54" i="29"/>
  <c r="E54" i="29"/>
  <c r="C54" i="29"/>
  <c r="G53" i="29"/>
  <c r="E53" i="29"/>
  <c r="C53" i="29"/>
  <c r="G52" i="29"/>
  <c r="E52" i="29"/>
  <c r="C52" i="29"/>
  <c r="G51" i="29"/>
  <c r="E51" i="29"/>
  <c r="C51" i="29"/>
  <c r="G50" i="29"/>
  <c r="Q48" i="29"/>
  <c r="O48" i="29"/>
  <c r="M48" i="29"/>
  <c r="K48" i="29"/>
  <c r="I48" i="29"/>
  <c r="G48" i="29"/>
  <c r="E48" i="29"/>
  <c r="C48" i="29"/>
  <c r="Q47" i="29"/>
  <c r="O47" i="29"/>
  <c r="M47" i="29"/>
  <c r="K47" i="29"/>
  <c r="I47" i="29"/>
  <c r="G47" i="29"/>
  <c r="E47" i="29"/>
  <c r="C47" i="29"/>
  <c r="Q46" i="29"/>
  <c r="O46" i="29"/>
  <c r="M46" i="29"/>
  <c r="K46" i="29"/>
  <c r="I46" i="29"/>
  <c r="G46" i="29"/>
  <c r="E46" i="29"/>
  <c r="C46" i="29"/>
  <c r="Q45" i="29"/>
  <c r="O45" i="29"/>
  <c r="M45" i="29"/>
  <c r="K45" i="29"/>
  <c r="I45" i="29"/>
  <c r="G45" i="29"/>
  <c r="E45" i="29"/>
  <c r="C45" i="29"/>
  <c r="Q44" i="29"/>
  <c r="O44" i="29"/>
  <c r="M44" i="29"/>
  <c r="K44" i="29"/>
  <c r="I44" i="29"/>
  <c r="G44" i="29"/>
  <c r="E44" i="29"/>
  <c r="C44" i="29"/>
  <c r="Q43" i="29"/>
  <c r="O43" i="29"/>
  <c r="M43" i="29"/>
  <c r="K43" i="29"/>
  <c r="I43" i="29"/>
  <c r="G43" i="29"/>
  <c r="E43" i="29"/>
  <c r="C43" i="29"/>
  <c r="Q42" i="29"/>
  <c r="O42" i="29"/>
  <c r="M42" i="29"/>
  <c r="K42" i="29"/>
  <c r="I42" i="29"/>
  <c r="G42" i="29"/>
  <c r="E42" i="29"/>
  <c r="C42" i="29"/>
  <c r="Q41" i="29"/>
  <c r="O41" i="29"/>
  <c r="M41" i="29"/>
  <c r="K41" i="29"/>
  <c r="I41" i="29"/>
  <c r="G41" i="29"/>
  <c r="E41" i="29"/>
  <c r="C41" i="29"/>
  <c r="Q40" i="29"/>
  <c r="O40" i="29"/>
  <c r="M40" i="29"/>
  <c r="K40" i="29"/>
  <c r="I40" i="29"/>
  <c r="G40" i="29"/>
  <c r="E40" i="29"/>
  <c r="C40" i="29"/>
  <c r="G38" i="29"/>
  <c r="T36" i="29"/>
  <c r="V36" i="29"/>
  <c r="X36" i="29"/>
  <c r="Z36" i="29"/>
  <c r="J36" i="29"/>
  <c r="L36" i="29"/>
  <c r="N36" i="29"/>
  <c r="P36" i="29"/>
  <c r="S35" i="29"/>
  <c r="S30" i="29"/>
  <c r="W30" i="29"/>
  <c r="S29" i="29"/>
  <c r="W29" i="29"/>
  <c r="S28" i="29"/>
  <c r="W28" i="29"/>
  <c r="S27" i="29"/>
  <c r="W27" i="29"/>
  <c r="S26" i="29"/>
  <c r="W26" i="29"/>
  <c r="S25" i="29"/>
  <c r="W25" i="29"/>
  <c r="AY22" i="29"/>
  <c r="AW22" i="29"/>
  <c r="AU22" i="29"/>
  <c r="AS22" i="29"/>
  <c r="AQ22" i="29"/>
  <c r="AO22" i="29"/>
  <c r="AM22" i="29"/>
  <c r="AK22" i="29"/>
  <c r="AI22" i="29"/>
  <c r="AG22" i="29"/>
  <c r="AE22" i="29"/>
  <c r="AC22" i="29"/>
  <c r="AA22" i="29"/>
  <c r="Y22" i="29"/>
  <c r="S22" i="29"/>
  <c r="AY21" i="29"/>
  <c r="AY32" i="29"/>
  <c r="AW21" i="29"/>
  <c r="AU21" i="29"/>
  <c r="AS21" i="29"/>
  <c r="AQ21" i="29"/>
  <c r="AO21" i="29"/>
  <c r="AM21" i="29"/>
  <c r="AK21" i="29"/>
  <c r="AI21" i="29"/>
  <c r="AG21" i="29"/>
  <c r="AE21" i="29"/>
  <c r="AC21" i="29"/>
  <c r="AA21" i="29"/>
  <c r="Y21" i="29"/>
  <c r="S21" i="29"/>
  <c r="AY20" i="29"/>
  <c r="AW20" i="29"/>
  <c r="AU20" i="29"/>
  <c r="AS20" i="29"/>
  <c r="AQ20" i="29"/>
  <c r="AO20" i="29"/>
  <c r="AM20" i="29"/>
  <c r="AK20" i="29"/>
  <c r="AI20" i="29"/>
  <c r="AG20" i="29"/>
  <c r="AE20" i="29"/>
  <c r="AC20" i="29"/>
  <c r="AA20" i="29"/>
  <c r="Y20" i="29"/>
  <c r="S20" i="29"/>
  <c r="AY19" i="29"/>
  <c r="AW19" i="29"/>
  <c r="AU19" i="29"/>
  <c r="AS19" i="29"/>
  <c r="AQ19" i="29"/>
  <c r="AO19" i="29"/>
  <c r="AM19" i="29"/>
  <c r="AK19" i="29"/>
  <c r="AI19" i="29"/>
  <c r="AG19" i="29"/>
  <c r="AE19" i="29"/>
  <c r="AC19" i="29"/>
  <c r="AA19" i="29"/>
  <c r="Y19" i="29"/>
  <c r="S19" i="29"/>
  <c r="AY18" i="29"/>
  <c r="AW18" i="29"/>
  <c r="AU18" i="29"/>
  <c r="AS18" i="29"/>
  <c r="AS32" i="29"/>
  <c r="AQ18" i="29"/>
  <c r="AO18" i="29"/>
  <c r="AM18" i="29"/>
  <c r="AK18" i="29"/>
  <c r="AI18" i="29"/>
  <c r="AG18" i="29"/>
  <c r="AE18" i="29"/>
  <c r="AC18" i="29"/>
  <c r="AA18" i="29"/>
  <c r="Y18" i="29"/>
  <c r="S18" i="29"/>
  <c r="AY17" i="29"/>
  <c r="AW17" i="29"/>
  <c r="AU17" i="29"/>
  <c r="AS17" i="29"/>
  <c r="AQ17" i="29"/>
  <c r="AO17" i="29"/>
  <c r="AM17" i="29"/>
  <c r="AK17" i="29"/>
  <c r="AI17" i="29"/>
  <c r="AG17" i="29"/>
  <c r="AE17" i="29"/>
  <c r="AC17" i="29"/>
  <c r="AA17" i="29"/>
  <c r="U17" i="29"/>
  <c r="Y17" i="29"/>
  <c r="S17" i="29"/>
  <c r="AY16" i="29"/>
  <c r="AW16" i="29"/>
  <c r="AU16" i="29"/>
  <c r="AS16" i="29"/>
  <c r="AQ16" i="29"/>
  <c r="AO16" i="29"/>
  <c r="AM16" i="29"/>
  <c r="AK16" i="29"/>
  <c r="AI16" i="29"/>
  <c r="AG16" i="29"/>
  <c r="AE16" i="29"/>
  <c r="AC16" i="29"/>
  <c r="AA16" i="29"/>
  <c r="Y16" i="29"/>
  <c r="S16" i="29"/>
  <c r="AY15" i="29"/>
  <c r="AW15" i="29"/>
  <c r="AU15" i="29"/>
  <c r="AS15" i="29"/>
  <c r="AQ15" i="29"/>
  <c r="AO15" i="29"/>
  <c r="AM15" i="29"/>
  <c r="AK15" i="29"/>
  <c r="AI15" i="29"/>
  <c r="AG15" i="29"/>
  <c r="AE15" i="29"/>
  <c r="AC15" i="29"/>
  <c r="AA15" i="29"/>
  <c r="Y15" i="29"/>
  <c r="S15" i="29"/>
  <c r="AY14" i="29"/>
  <c r="AW14" i="29"/>
  <c r="AU14" i="29"/>
  <c r="AS14" i="29"/>
  <c r="AQ14" i="29"/>
  <c r="AO14" i="29"/>
  <c r="AM14" i="29"/>
  <c r="AK14" i="29"/>
  <c r="AI14" i="29"/>
  <c r="AG14" i="29"/>
  <c r="AE14" i="29"/>
  <c r="AC14" i="29"/>
  <c r="AA14" i="29"/>
  <c r="Y14" i="29"/>
  <c r="S14" i="29"/>
  <c r="Z12" i="29"/>
  <c r="X12" i="29"/>
  <c r="Z10" i="29"/>
  <c r="AB10" i="29"/>
  <c r="AD10" i="29"/>
  <c r="AF10" i="29"/>
  <c r="AH10" i="29"/>
  <c r="AJ10" i="29"/>
  <c r="AL10" i="29"/>
  <c r="AN10" i="29"/>
  <c r="AP10" i="29"/>
  <c r="AR10" i="29"/>
  <c r="AT10" i="29"/>
  <c r="AV10" i="29"/>
  <c r="AX10" i="29"/>
  <c r="S9" i="29"/>
  <c r="Q9" i="29"/>
  <c r="U6" i="29"/>
  <c r="G71" i="28"/>
  <c r="G68" i="28"/>
  <c r="E68" i="28"/>
  <c r="C68" i="28"/>
  <c r="G67" i="28"/>
  <c r="E67" i="28"/>
  <c r="C67" i="28"/>
  <c r="G66" i="28"/>
  <c r="E66" i="28"/>
  <c r="C66" i="28"/>
  <c r="G65" i="28"/>
  <c r="E65" i="28"/>
  <c r="C65" i="28"/>
  <c r="G64" i="28"/>
  <c r="E64" i="28"/>
  <c r="C64" i="28"/>
  <c r="G63" i="28"/>
  <c r="E63" i="28"/>
  <c r="C63" i="28"/>
  <c r="G62" i="28"/>
  <c r="E62" i="28"/>
  <c r="C62" i="28"/>
  <c r="G61" i="28"/>
  <c r="E61" i="28"/>
  <c r="C61" i="28"/>
  <c r="G60" i="28"/>
  <c r="E60" i="28"/>
  <c r="C60" i="28"/>
  <c r="G59" i="28"/>
  <c r="E59" i="28"/>
  <c r="C59" i="28"/>
  <c r="G58" i="28"/>
  <c r="E58" i="28"/>
  <c r="C58" i="28"/>
  <c r="G57" i="28"/>
  <c r="E57" i="28"/>
  <c r="C57" i="28"/>
  <c r="G56" i="28"/>
  <c r="E56" i="28"/>
  <c r="C56" i="28"/>
  <c r="G55" i="28"/>
  <c r="E55" i="28"/>
  <c r="C55" i="28"/>
  <c r="G54" i="28"/>
  <c r="E54" i="28"/>
  <c r="C54" i="28"/>
  <c r="G53" i="28"/>
  <c r="E53" i="28"/>
  <c r="C53" i="28"/>
  <c r="G52" i="28"/>
  <c r="E52" i="28"/>
  <c r="C52" i="28"/>
  <c r="G51" i="28"/>
  <c r="E51" i="28"/>
  <c r="C51" i="28"/>
  <c r="G50" i="28"/>
  <c r="E50" i="28"/>
  <c r="C50" i="28"/>
  <c r="G49" i="28"/>
  <c r="E49" i="28"/>
  <c r="C49" i="28"/>
  <c r="G48" i="28"/>
  <c r="E48" i="28"/>
  <c r="C48" i="28"/>
  <c r="G47" i="28"/>
  <c r="E47" i="28"/>
  <c r="C47" i="28"/>
  <c r="G45" i="28"/>
  <c r="T43" i="28"/>
  <c r="V43" i="28"/>
  <c r="X43" i="28"/>
  <c r="Z43" i="28"/>
  <c r="J43" i="28"/>
  <c r="L43" i="28"/>
  <c r="N43" i="28"/>
  <c r="P43" i="28"/>
  <c r="S42" i="28"/>
  <c r="U42" i="28"/>
  <c r="S35" i="28"/>
  <c r="W35" i="28"/>
  <c r="S34" i="28"/>
  <c r="W34" i="28"/>
  <c r="S33" i="28"/>
  <c r="W33" i="28"/>
  <c r="S32" i="28"/>
  <c r="W32" i="28"/>
  <c r="S31" i="28"/>
  <c r="W31" i="28"/>
  <c r="S30" i="28"/>
  <c r="W30" i="28"/>
  <c r="S29" i="28"/>
  <c r="W29" i="28"/>
  <c r="S28" i="28"/>
  <c r="W28" i="28"/>
  <c r="S27" i="28"/>
  <c r="W27" i="28"/>
  <c r="S26" i="28"/>
  <c r="W26" i="28"/>
  <c r="S25" i="28"/>
  <c r="W25" i="28"/>
  <c r="S24" i="28"/>
  <c r="W24" i="28"/>
  <c r="S23" i="28"/>
  <c r="W23" i="28"/>
  <c r="S22" i="28"/>
  <c r="W22" i="28"/>
  <c r="S21" i="28"/>
  <c r="W21" i="28"/>
  <c r="S20" i="28"/>
  <c r="W20" i="28"/>
  <c r="S19" i="28"/>
  <c r="W19" i="28"/>
  <c r="S18" i="28"/>
  <c r="W18" i="28"/>
  <c r="S17" i="28"/>
  <c r="W17" i="28"/>
  <c r="S16" i="28"/>
  <c r="W16" i="28"/>
  <c r="S15" i="28"/>
  <c r="W15" i="28"/>
  <c r="S14" i="28"/>
  <c r="W14" i="28"/>
  <c r="Z10" i="28"/>
  <c r="AB10" i="28"/>
  <c r="AD10" i="28"/>
  <c r="AF10" i="28"/>
  <c r="AH10" i="28"/>
  <c r="AJ10" i="28"/>
  <c r="AL10" i="28"/>
  <c r="AN10" i="28"/>
  <c r="AP10" i="28"/>
  <c r="AR10" i="28"/>
  <c r="AT10" i="28"/>
  <c r="AV10" i="28"/>
  <c r="AX10" i="28"/>
  <c r="S9" i="28"/>
  <c r="Q9" i="28"/>
  <c r="U6" i="28"/>
  <c r="I64" i="7"/>
  <c r="F43" i="30"/>
  <c r="F42" i="30"/>
  <c r="F41" i="30"/>
  <c r="AK40" i="30"/>
  <c r="AI40" i="30"/>
  <c r="AG40" i="30"/>
  <c r="AE40" i="30"/>
  <c r="AC40" i="30"/>
  <c r="AA40" i="30"/>
  <c r="Y40" i="30"/>
  <c r="W40" i="30"/>
  <c r="U40" i="30"/>
  <c r="S40" i="30"/>
  <c r="Q40" i="30"/>
  <c r="O40" i="30"/>
  <c r="M40" i="30"/>
  <c r="K40" i="30"/>
  <c r="I40" i="30"/>
  <c r="F40" i="30"/>
  <c r="F39" i="30"/>
  <c r="F38" i="30"/>
  <c r="C34" i="30"/>
  <c r="A34" i="30"/>
  <c r="C33" i="30"/>
  <c r="A33" i="30"/>
  <c r="C32" i="30"/>
  <c r="A32" i="30"/>
  <c r="C31" i="30"/>
  <c r="B31" i="30"/>
  <c r="A31" i="30"/>
  <c r="I25" i="30"/>
  <c r="AK23" i="30"/>
  <c r="AI23" i="30"/>
  <c r="AG23" i="30"/>
  <c r="AE23" i="30"/>
  <c r="AC23" i="30"/>
  <c r="AA23" i="30"/>
  <c r="Y23" i="30"/>
  <c r="W23" i="30"/>
  <c r="U23" i="30"/>
  <c r="S23" i="30"/>
  <c r="Q23" i="30"/>
  <c r="O23" i="30"/>
  <c r="M23" i="30"/>
  <c r="K23" i="30"/>
  <c r="M22" i="30"/>
  <c r="O22" i="30"/>
  <c r="Q22" i="30"/>
  <c r="S22" i="30"/>
  <c r="U22" i="30"/>
  <c r="W22" i="30"/>
  <c r="Y22" i="30"/>
  <c r="AA22" i="30"/>
  <c r="AC22" i="30"/>
  <c r="AE22" i="30"/>
  <c r="AG22" i="30"/>
  <c r="AI22" i="30"/>
  <c r="AK22" i="30"/>
  <c r="I39" i="30"/>
  <c r="K39" i="30"/>
  <c r="M39" i="30"/>
  <c r="O39" i="30"/>
  <c r="Q39" i="30"/>
  <c r="S39" i="30"/>
  <c r="U39" i="30"/>
  <c r="W39" i="30"/>
  <c r="Y39" i="30"/>
  <c r="AA39" i="30"/>
  <c r="AC39" i="30"/>
  <c r="AE39" i="30"/>
  <c r="AG39" i="30"/>
  <c r="AI39" i="30"/>
  <c r="AK39" i="30"/>
  <c r="K14" i="30"/>
  <c r="I13" i="30"/>
  <c r="K12" i="30"/>
  <c r="M12" i="30"/>
  <c r="O12" i="30"/>
  <c r="Q12" i="30"/>
  <c r="S12" i="30"/>
  <c r="U12" i="30"/>
  <c r="W12" i="30"/>
  <c r="Y12" i="30"/>
  <c r="AA12" i="30"/>
  <c r="AC12" i="30"/>
  <c r="AE12" i="30"/>
  <c r="AG12" i="30"/>
  <c r="AI12" i="30"/>
  <c r="AK12" i="30"/>
  <c r="I29" i="30"/>
  <c r="K29" i="30"/>
  <c r="M29" i="30"/>
  <c r="O29" i="30"/>
  <c r="Q29" i="30"/>
  <c r="S29" i="30"/>
  <c r="U29" i="30"/>
  <c r="W29" i="30"/>
  <c r="Y29" i="30"/>
  <c r="AA29" i="30"/>
  <c r="AC29" i="30"/>
  <c r="AE29" i="30"/>
  <c r="AG29" i="30"/>
  <c r="AI29" i="30"/>
  <c r="AK29" i="30"/>
  <c r="C15" i="33"/>
  <c r="F15" i="33"/>
  <c r="E6" i="33"/>
  <c r="Y14" i="7"/>
  <c r="AA14" i="7"/>
  <c r="AC14" i="7"/>
  <c r="AE14" i="7"/>
  <c r="AG14" i="7"/>
  <c r="AI14" i="7"/>
  <c r="AK14" i="7"/>
  <c r="AM14" i="7"/>
  <c r="AO14" i="7"/>
  <c r="AQ14" i="7"/>
  <c r="AS14" i="7"/>
  <c r="AU14" i="7"/>
  <c r="AW14" i="7"/>
  <c r="AY14" i="7"/>
  <c r="Y15" i="7"/>
  <c r="AA15" i="7"/>
  <c r="AC15" i="7"/>
  <c r="AE15" i="7"/>
  <c r="AG15" i="7"/>
  <c r="AI15" i="7"/>
  <c r="AK15" i="7"/>
  <c r="AM15" i="7"/>
  <c r="AO15" i="7"/>
  <c r="AQ15" i="7"/>
  <c r="AS15" i="7"/>
  <c r="AU15" i="7"/>
  <c r="AW15" i="7"/>
  <c r="AY15" i="7"/>
  <c r="Y16" i="7"/>
  <c r="AA16" i="7"/>
  <c r="AC16" i="7"/>
  <c r="AE16" i="7"/>
  <c r="AG16" i="7"/>
  <c r="AI16" i="7"/>
  <c r="AK16" i="7"/>
  <c r="AM16" i="7"/>
  <c r="AO16" i="7"/>
  <c r="AQ16" i="7"/>
  <c r="AS16" i="7"/>
  <c r="AU16" i="7"/>
  <c r="AW16" i="7"/>
  <c r="AY16" i="7"/>
  <c r="Y17" i="7"/>
  <c r="AA17" i="7"/>
  <c r="AC17" i="7"/>
  <c r="AE17" i="7"/>
  <c r="AG17" i="7"/>
  <c r="AI17" i="7"/>
  <c r="AK17" i="7"/>
  <c r="AM17" i="7"/>
  <c r="AO17" i="7"/>
  <c r="AQ17" i="7"/>
  <c r="AS17" i="7"/>
  <c r="AU17" i="7"/>
  <c r="AW17" i="7"/>
  <c r="AY17" i="7"/>
  <c r="Y18" i="7"/>
  <c r="AA18" i="7"/>
  <c r="AC18" i="7"/>
  <c r="AE18" i="7"/>
  <c r="AG18" i="7"/>
  <c r="AI18" i="7"/>
  <c r="AK18" i="7"/>
  <c r="AM18" i="7"/>
  <c r="AO18" i="7"/>
  <c r="AQ18" i="7"/>
  <c r="AS18" i="7"/>
  <c r="AU18" i="7"/>
  <c r="AW18" i="7"/>
  <c r="AY18" i="7"/>
  <c r="Y19" i="7"/>
  <c r="AA19" i="7"/>
  <c r="AC19" i="7"/>
  <c r="AE19" i="7"/>
  <c r="AG19" i="7"/>
  <c r="AI19" i="7"/>
  <c r="AK19" i="7"/>
  <c r="AM19" i="7"/>
  <c r="AO19" i="7"/>
  <c r="AQ19" i="7"/>
  <c r="AS19" i="7"/>
  <c r="AU19" i="7"/>
  <c r="AW19" i="7"/>
  <c r="AY19" i="7"/>
  <c r="C65" i="15"/>
  <c r="E65" i="15"/>
  <c r="G65" i="15"/>
  <c r="C66" i="15"/>
  <c r="E66" i="15"/>
  <c r="G66" i="15"/>
  <c r="D15" i="33"/>
  <c r="C4" i="34"/>
  <c r="C5" i="34"/>
  <c r="C7" i="32"/>
  <c r="S52" i="7"/>
  <c r="W52" i="7"/>
  <c r="S53" i="7"/>
  <c r="W53" i="7"/>
  <c r="S54" i="7"/>
  <c r="W54" i="7"/>
  <c r="H88" i="12"/>
  <c r="H89" i="12"/>
  <c r="H90" i="12"/>
  <c r="H91" i="12"/>
  <c r="H92" i="12"/>
  <c r="H70" i="12"/>
  <c r="H71" i="12"/>
  <c r="H72" i="12"/>
  <c r="H73" i="12"/>
  <c r="H74" i="12"/>
  <c r="G89" i="7"/>
  <c r="S35" i="15"/>
  <c r="S34" i="15"/>
  <c r="W34" i="15"/>
  <c r="S33" i="15"/>
  <c r="W33" i="15"/>
  <c r="S32" i="15"/>
  <c r="W32" i="15"/>
  <c r="S31" i="15"/>
  <c r="W31" i="15"/>
  <c r="S30" i="15"/>
  <c r="W30" i="15"/>
  <c r="S29" i="15"/>
  <c r="W29" i="15"/>
  <c r="S28" i="15"/>
  <c r="W28" i="15"/>
  <c r="S27" i="15"/>
  <c r="S26" i="15"/>
  <c r="W26" i="15"/>
  <c r="S25" i="15"/>
  <c r="W25" i="15"/>
  <c r="S24" i="15"/>
  <c r="W24" i="15"/>
  <c r="S23" i="15"/>
  <c r="W23" i="15"/>
  <c r="S22" i="15"/>
  <c r="W22" i="15"/>
  <c r="S21" i="15"/>
  <c r="W21" i="15"/>
  <c r="S20" i="15"/>
  <c r="W20" i="15"/>
  <c r="S19" i="15"/>
  <c r="S18" i="15"/>
  <c r="W18" i="15"/>
  <c r="S17" i="15"/>
  <c r="W17" i="15"/>
  <c r="S16" i="15"/>
  <c r="W16" i="15"/>
  <c r="S15" i="15"/>
  <c r="W15" i="15"/>
  <c r="S14" i="15"/>
  <c r="W14" i="15"/>
  <c r="M22" i="23"/>
  <c r="O22" i="23"/>
  <c r="Q22" i="23"/>
  <c r="S22" i="23"/>
  <c r="U22" i="23"/>
  <c r="W22" i="23"/>
  <c r="Y22" i="23"/>
  <c r="AA22" i="23"/>
  <c r="AC22" i="23"/>
  <c r="AE22" i="23"/>
  <c r="AG22" i="23"/>
  <c r="AI22" i="23"/>
  <c r="AK22" i="23"/>
  <c r="I39" i="23"/>
  <c r="K39" i="23"/>
  <c r="M39" i="23"/>
  <c r="O39" i="23"/>
  <c r="Q39" i="23"/>
  <c r="S39" i="23"/>
  <c r="U39" i="23"/>
  <c r="W39" i="23"/>
  <c r="Y39" i="23"/>
  <c r="AA39" i="23"/>
  <c r="AC39" i="23"/>
  <c r="AE39" i="23"/>
  <c r="AG39" i="23"/>
  <c r="AI39" i="23"/>
  <c r="AK39" i="23"/>
  <c r="F43" i="23"/>
  <c r="F42" i="23"/>
  <c r="F41" i="23"/>
  <c r="F40" i="23"/>
  <c r="F39" i="23"/>
  <c r="F38" i="23"/>
  <c r="C34" i="23"/>
  <c r="A34" i="23"/>
  <c r="C33" i="23"/>
  <c r="A33" i="23"/>
  <c r="C32" i="23"/>
  <c r="A32" i="23"/>
  <c r="C31" i="23"/>
  <c r="B31" i="23"/>
  <c r="A31" i="23"/>
  <c r="I25" i="23"/>
  <c r="K14" i="23"/>
  <c r="M14" i="23"/>
  <c r="I13" i="23"/>
  <c r="I16" i="23"/>
  <c r="C6" i="34"/>
  <c r="E92" i="7"/>
  <c r="G92" i="7"/>
  <c r="C92" i="7"/>
  <c r="G91" i="7"/>
  <c r="E91" i="7"/>
  <c r="C91" i="7"/>
  <c r="Q9" i="7"/>
  <c r="D70" i="12"/>
  <c r="D71" i="12"/>
  <c r="D72" i="12"/>
  <c r="D73" i="12"/>
  <c r="D74" i="12"/>
  <c r="D88" i="12"/>
  <c r="D89" i="12"/>
  <c r="D90" i="12"/>
  <c r="D91" i="12"/>
  <c r="D92" i="12"/>
  <c r="D82" i="12"/>
  <c r="H82" i="12"/>
  <c r="D83" i="12"/>
  <c r="H83" i="12"/>
  <c r="D84" i="12"/>
  <c r="H84" i="12"/>
  <c r="D85" i="12"/>
  <c r="H85" i="12"/>
  <c r="D86" i="12"/>
  <c r="H86" i="12"/>
  <c r="D87" i="12"/>
  <c r="H87" i="12"/>
  <c r="D93" i="12"/>
  <c r="H93" i="12"/>
  <c r="D94" i="12"/>
  <c r="H94" i="12"/>
  <c r="D95" i="12"/>
  <c r="H95" i="12"/>
  <c r="D96" i="12"/>
  <c r="H96" i="12"/>
  <c r="D97" i="12"/>
  <c r="H97" i="12"/>
  <c r="D98" i="12"/>
  <c r="H98" i="12"/>
  <c r="D99" i="12"/>
  <c r="H99" i="12"/>
  <c r="D100" i="12"/>
  <c r="H100" i="12"/>
  <c r="H102" i="12"/>
  <c r="D65" i="12"/>
  <c r="D75" i="12"/>
  <c r="H75" i="12"/>
  <c r="D76" i="12"/>
  <c r="H76" i="12"/>
  <c r="D77" i="12"/>
  <c r="H77" i="12"/>
  <c r="D78" i="12"/>
  <c r="H78" i="12"/>
  <c r="D79" i="12"/>
  <c r="H79" i="12"/>
  <c r="D80" i="12"/>
  <c r="H80" i="12"/>
  <c r="D81" i="12"/>
  <c r="H81" i="12"/>
  <c r="G69" i="7"/>
  <c r="G68" i="7"/>
  <c r="G67" i="7"/>
  <c r="G66" i="7"/>
  <c r="G65" i="7"/>
  <c r="G64" i="7"/>
  <c r="G62" i="7"/>
  <c r="G90" i="7"/>
  <c r="E90" i="7"/>
  <c r="C90" i="7"/>
  <c r="C66" i="7"/>
  <c r="G68" i="15"/>
  <c r="E68" i="15"/>
  <c r="C68" i="15"/>
  <c r="H69" i="12"/>
  <c r="H68" i="12"/>
  <c r="H67" i="12"/>
  <c r="H66" i="12"/>
  <c r="H65" i="12"/>
  <c r="H64" i="12"/>
  <c r="H63" i="12"/>
  <c r="H62" i="12"/>
  <c r="H61" i="12"/>
  <c r="U6" i="15"/>
  <c r="K56" i="15"/>
  <c r="U6" i="7"/>
  <c r="T11" i="12"/>
  <c r="S9" i="15"/>
  <c r="Q9" i="15"/>
  <c r="G64" i="15"/>
  <c r="G63" i="15"/>
  <c r="G61" i="15"/>
  <c r="G60" i="15"/>
  <c r="G56" i="15"/>
  <c r="G55" i="15"/>
  <c r="G53" i="15"/>
  <c r="G52" i="15"/>
  <c r="G48" i="15"/>
  <c r="G47" i="15"/>
  <c r="Z12" i="7"/>
  <c r="X12" i="7"/>
  <c r="C67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G71" i="15"/>
  <c r="G67" i="15"/>
  <c r="E67" i="15"/>
  <c r="E64" i="15"/>
  <c r="E63" i="15"/>
  <c r="G62" i="15"/>
  <c r="E62" i="15"/>
  <c r="E61" i="15"/>
  <c r="E60" i="15"/>
  <c r="G59" i="15"/>
  <c r="E59" i="15"/>
  <c r="G58" i="15"/>
  <c r="E58" i="15"/>
  <c r="G57" i="15"/>
  <c r="E57" i="15"/>
  <c r="E56" i="15"/>
  <c r="E55" i="15"/>
  <c r="G54" i="15"/>
  <c r="E54" i="15"/>
  <c r="E53" i="15"/>
  <c r="E52" i="15"/>
  <c r="G51" i="15"/>
  <c r="E51" i="15"/>
  <c r="G50" i="15"/>
  <c r="E50" i="15"/>
  <c r="G49" i="15"/>
  <c r="E49" i="15"/>
  <c r="E48" i="15"/>
  <c r="E47" i="15"/>
  <c r="C47" i="15"/>
  <c r="G45" i="15"/>
  <c r="T43" i="15"/>
  <c r="V43" i="15"/>
  <c r="X43" i="15"/>
  <c r="Z43" i="15"/>
  <c r="J43" i="15"/>
  <c r="L43" i="15"/>
  <c r="N43" i="15"/>
  <c r="S42" i="15"/>
  <c r="Z10" i="15"/>
  <c r="AB10" i="15"/>
  <c r="AD10" i="15"/>
  <c r="AF10" i="15"/>
  <c r="AH10" i="15"/>
  <c r="AJ10" i="15"/>
  <c r="AL10" i="15"/>
  <c r="AN10" i="15"/>
  <c r="AP10" i="15"/>
  <c r="AR10" i="15"/>
  <c r="AT10" i="15"/>
  <c r="AV10" i="15"/>
  <c r="AX10" i="15"/>
  <c r="I68" i="7"/>
  <c r="E69" i="7"/>
  <c r="C69" i="7"/>
  <c r="E68" i="7"/>
  <c r="C68" i="7"/>
  <c r="E67" i="7"/>
  <c r="E66" i="7"/>
  <c r="E65" i="7"/>
  <c r="C65" i="7"/>
  <c r="S42" i="7"/>
  <c r="W42" i="7"/>
  <c r="S41" i="7"/>
  <c r="W41" i="7"/>
  <c r="S40" i="7"/>
  <c r="T12" i="12"/>
  <c r="S9" i="7"/>
  <c r="H59" i="12"/>
  <c r="F64" i="12"/>
  <c r="F63" i="12"/>
  <c r="F62" i="12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S14" i="7"/>
  <c r="S15" i="7"/>
  <c r="S59" i="7"/>
  <c r="J60" i="7"/>
  <c r="L60" i="7"/>
  <c r="N60" i="7"/>
  <c r="P60" i="7"/>
  <c r="T60" i="7"/>
  <c r="V60" i="7"/>
  <c r="X60" i="7"/>
  <c r="Z60" i="7"/>
  <c r="C64" i="7"/>
  <c r="E64" i="7"/>
  <c r="G107" i="7"/>
  <c r="AA7" i="12"/>
  <c r="AC7" i="12"/>
  <c r="AE7" i="12"/>
  <c r="AG7" i="12"/>
  <c r="AI7" i="12"/>
  <c r="AK7" i="12"/>
  <c r="AM7" i="12"/>
  <c r="AO7" i="12"/>
  <c r="AQ7" i="12"/>
  <c r="AS7" i="12"/>
  <c r="AU7" i="12"/>
  <c r="AW7" i="12"/>
  <c r="AY7" i="12"/>
  <c r="B12" i="12"/>
  <c r="T56" i="12"/>
  <c r="K57" i="12"/>
  <c r="M57" i="12"/>
  <c r="O57" i="12"/>
  <c r="Q57" i="12"/>
  <c r="U57" i="12"/>
  <c r="W57" i="12"/>
  <c r="Y57" i="12"/>
  <c r="AA57" i="12"/>
  <c r="B61" i="12"/>
  <c r="F61" i="12"/>
  <c r="D62" i="12"/>
  <c r="D63" i="12"/>
  <c r="D64" i="12"/>
  <c r="D66" i="12"/>
  <c r="D67" i="12"/>
  <c r="D68" i="12"/>
  <c r="D69" i="12"/>
  <c r="S16" i="7"/>
  <c r="S17" i="7"/>
  <c r="D61" i="12"/>
  <c r="C67" i="7"/>
  <c r="I65" i="7"/>
  <c r="I67" i="7"/>
  <c r="I69" i="7"/>
  <c r="I66" i="7"/>
  <c r="T13" i="12"/>
  <c r="T14" i="12"/>
  <c r="T15" i="12"/>
  <c r="T16" i="12"/>
  <c r="T17" i="12"/>
  <c r="T18" i="12"/>
  <c r="U42" i="15"/>
  <c r="W42" i="15"/>
  <c r="Y42" i="15"/>
  <c r="AA42" i="15"/>
  <c r="I16" i="30"/>
  <c r="AM14" i="28"/>
  <c r="AA15" i="28"/>
  <c r="AQ15" i="28"/>
  <c r="AE16" i="28"/>
  <c r="AU16" i="28"/>
  <c r="AI17" i="28"/>
  <c r="AY17" i="28"/>
  <c r="AM18" i="28"/>
  <c r="AA19" i="28"/>
  <c r="AQ19" i="28"/>
  <c r="AG20" i="28"/>
  <c r="U68" i="28"/>
  <c r="S67" i="28"/>
  <c r="Q66" i="28"/>
  <c r="O65" i="28"/>
  <c r="M64" i="28"/>
  <c r="K63" i="28"/>
  <c r="I62" i="28"/>
  <c r="U60" i="28"/>
  <c r="S68" i="28"/>
  <c r="Q67" i="28"/>
  <c r="O66" i="28"/>
  <c r="M65" i="28"/>
  <c r="O64" i="28"/>
  <c r="K64" i="28"/>
  <c r="M63" i="28"/>
  <c r="I63" i="28"/>
  <c r="K62" i="28"/>
  <c r="U61" i="28"/>
  <c r="I61" i="28"/>
  <c r="S60" i="28"/>
  <c r="M59" i="28"/>
  <c r="I59" i="28"/>
  <c r="S58" i="28"/>
  <c r="O58" i="28"/>
  <c r="K58" i="28"/>
  <c r="U57" i="28"/>
  <c r="Q57" i="28"/>
  <c r="M57" i="28"/>
  <c r="I57" i="28"/>
  <c r="W56" i="28"/>
  <c r="S56" i="28"/>
  <c r="O56" i="28"/>
  <c r="K56" i="28"/>
  <c r="U55" i="28"/>
  <c r="Q55" i="28"/>
  <c r="M55" i="28"/>
  <c r="I55" i="28"/>
  <c r="S54" i="28"/>
  <c r="O54" i="28"/>
  <c r="K54" i="28"/>
  <c r="U53" i="28"/>
  <c r="Q53" i="28"/>
  <c r="M53" i="28"/>
  <c r="I53" i="28"/>
  <c r="S52" i="28"/>
  <c r="O52" i="28"/>
  <c r="K52" i="28"/>
  <c r="U51" i="28"/>
  <c r="Q51" i="28"/>
  <c r="M51" i="28"/>
  <c r="I51" i="28"/>
  <c r="S50" i="28"/>
  <c r="O50" i="28"/>
  <c r="K50" i="28"/>
  <c r="U49" i="28"/>
  <c r="Q49" i="28"/>
  <c r="M49" i="28"/>
  <c r="S59" i="28"/>
  <c r="O59" i="28"/>
  <c r="K59" i="28"/>
  <c r="U58" i="28"/>
  <c r="Q58" i="28"/>
  <c r="M58" i="28"/>
  <c r="I58" i="28"/>
  <c r="W57" i="28"/>
  <c r="S57" i="28"/>
  <c r="O57" i="28"/>
  <c r="K57" i="28"/>
  <c r="U56" i="28"/>
  <c r="Q56" i="28"/>
  <c r="M56" i="28"/>
  <c r="I56" i="28"/>
  <c r="S55" i="28"/>
  <c r="O55" i="28"/>
  <c r="K55" i="28"/>
  <c r="U54" i="28"/>
  <c r="Q54" i="28"/>
  <c r="M54" i="28"/>
  <c r="I54" i="28"/>
  <c r="I71" i="28"/>
  <c r="S53" i="28"/>
  <c r="O53" i="28"/>
  <c r="K53" i="28"/>
  <c r="U52" i="28"/>
  <c r="Q52" i="28"/>
  <c r="M52" i="28"/>
  <c r="I52" i="28"/>
  <c r="S51" i="28"/>
  <c r="O51" i="28"/>
  <c r="K51" i="28"/>
  <c r="U50" i="28"/>
  <c r="Q50" i="28"/>
  <c r="M50" i="28"/>
  <c r="I50" i="28"/>
  <c r="W49" i="28"/>
  <c r="S49" i="28"/>
  <c r="O49" i="28"/>
  <c r="K49" i="28"/>
  <c r="I49" i="28"/>
  <c r="W48" i="28"/>
  <c r="S48" i="28"/>
  <c r="O48" i="28"/>
  <c r="K48" i="28"/>
  <c r="U47" i="28"/>
  <c r="Q47" i="28"/>
  <c r="M47" i="28"/>
  <c r="I47" i="28"/>
  <c r="AY35" i="28"/>
  <c r="AU35" i="28"/>
  <c r="AQ35" i="28"/>
  <c r="AM35" i="28"/>
  <c r="AI35" i="28"/>
  <c r="AE35" i="28"/>
  <c r="AA35" i="28"/>
  <c r="AY34" i="28"/>
  <c r="AU34" i="28"/>
  <c r="AQ34" i="28"/>
  <c r="AM34" i="28"/>
  <c r="AI34" i="28"/>
  <c r="AE34" i="28"/>
  <c r="AA34" i="28"/>
  <c r="AY33" i="28"/>
  <c r="AU33" i="28"/>
  <c r="AQ33" i="28"/>
  <c r="AM33" i="28"/>
  <c r="AI33" i="28"/>
  <c r="AE33" i="28"/>
  <c r="AA33" i="28"/>
  <c r="AY32" i="28"/>
  <c r="AU32" i="28"/>
  <c r="AQ32" i="28"/>
  <c r="AM32" i="28"/>
  <c r="AI32" i="28"/>
  <c r="AE32" i="28"/>
  <c r="AA32" i="28"/>
  <c r="AY31" i="28"/>
  <c r="AU31" i="28"/>
  <c r="AQ31" i="28"/>
  <c r="AM31" i="28"/>
  <c r="AI31" i="28"/>
  <c r="AE31" i="28"/>
  <c r="AA31" i="28"/>
  <c r="AY30" i="28"/>
  <c r="AU30" i="28"/>
  <c r="AQ30" i="28"/>
  <c r="AM30" i="28"/>
  <c r="AI30" i="28"/>
  <c r="AE30" i="28"/>
  <c r="AA30" i="28"/>
  <c r="AY29" i="28"/>
  <c r="AU29" i="28"/>
  <c r="AQ29" i="28"/>
  <c r="AM29" i="28"/>
  <c r="AI29" i="28"/>
  <c r="AE29" i="28"/>
  <c r="AA29" i="28"/>
  <c r="AY28" i="28"/>
  <c r="AU28" i="28"/>
  <c r="AQ28" i="28"/>
  <c r="AM28" i="28"/>
  <c r="AI28" i="28"/>
  <c r="AE28" i="28"/>
  <c r="AA28" i="28"/>
  <c r="AY27" i="28"/>
  <c r="AU27" i="28"/>
  <c r="AQ27" i="28"/>
  <c r="AM27" i="28"/>
  <c r="AI27" i="28"/>
  <c r="AE27" i="28"/>
  <c r="AA27" i="28"/>
  <c r="AY26" i="28"/>
  <c r="AU26" i="28"/>
  <c r="AQ26" i="28"/>
  <c r="AM26" i="28"/>
  <c r="AI26" i="28"/>
  <c r="AE26" i="28"/>
  <c r="AA26" i="28"/>
  <c r="AY25" i="28"/>
  <c r="AU25" i="28"/>
  <c r="AQ25" i="28"/>
  <c r="AM25" i="28"/>
  <c r="AI25" i="28"/>
  <c r="AE25" i="28"/>
  <c r="AA25" i="28"/>
  <c r="AY24" i="28"/>
  <c r="AU24" i="28"/>
  <c r="AQ24" i="28"/>
  <c r="AM24" i="28"/>
  <c r="AI24" i="28"/>
  <c r="AE24" i="28"/>
  <c r="AA24" i="28"/>
  <c r="AY23" i="28"/>
  <c r="AU23" i="28"/>
  <c r="AQ23" i="28"/>
  <c r="AM23" i="28"/>
  <c r="AI23" i="28"/>
  <c r="AE23" i="28"/>
  <c r="AA23" i="28"/>
  <c r="AY22" i="28"/>
  <c r="AU22" i="28"/>
  <c r="AQ22" i="28"/>
  <c r="AM22" i="28"/>
  <c r="AI22" i="28"/>
  <c r="AE22" i="28"/>
  <c r="AA22" i="28"/>
  <c r="AY21" i="28"/>
  <c r="AU21" i="28"/>
  <c r="AQ21" i="28"/>
  <c r="AM21" i="28"/>
  <c r="AI21" i="28"/>
  <c r="AE21" i="28"/>
  <c r="AY20" i="28"/>
  <c r="AU20" i="28"/>
  <c r="AQ20" i="28"/>
  <c r="AM20" i="28"/>
  <c r="AI20" i="28"/>
  <c r="AI38" i="28"/>
  <c r="AE20" i="28"/>
  <c r="AA20" i="28"/>
  <c r="U48" i="28"/>
  <c r="Q48" i="28"/>
  <c r="M48" i="28"/>
  <c r="I48" i="28"/>
  <c r="S47" i="28"/>
  <c r="O47" i="28"/>
  <c r="K47" i="28"/>
  <c r="AW35" i="28"/>
  <c r="AS35" i="28"/>
  <c r="AO35" i="28"/>
  <c r="AK35" i="28"/>
  <c r="AG35" i="28"/>
  <c r="AC35" i="28"/>
  <c r="Y35" i="28"/>
  <c r="AW34" i="28"/>
  <c r="AS34" i="28"/>
  <c r="AO34" i="28"/>
  <c r="AK34" i="28"/>
  <c r="AG34" i="28"/>
  <c r="AC34" i="28"/>
  <c r="Y34" i="28"/>
  <c r="AW33" i="28"/>
  <c r="AS33" i="28"/>
  <c r="AO33" i="28"/>
  <c r="AK33" i="28"/>
  <c r="AG33" i="28"/>
  <c r="AC33" i="28"/>
  <c r="Y33" i="28"/>
  <c r="AW32" i="28"/>
  <c r="AS32" i="28"/>
  <c r="AO32" i="28"/>
  <c r="AK32" i="28"/>
  <c r="AG32" i="28"/>
  <c r="AC32" i="28"/>
  <c r="Y32" i="28"/>
  <c r="AW31" i="28"/>
  <c r="AS31" i="28"/>
  <c r="AO31" i="28"/>
  <c r="AK31" i="28"/>
  <c r="AG31" i="28"/>
  <c r="AC31" i="28"/>
  <c r="Y31" i="28"/>
  <c r="AW30" i="28"/>
  <c r="AS30" i="28"/>
  <c r="AO30" i="28"/>
  <c r="AK30" i="28"/>
  <c r="AG30" i="28"/>
  <c r="AC30" i="28"/>
  <c r="Y30" i="28"/>
  <c r="AW29" i="28"/>
  <c r="AS29" i="28"/>
  <c r="AO29" i="28"/>
  <c r="AK29" i="28"/>
  <c r="AG29" i="28"/>
  <c r="AC29" i="28"/>
  <c r="Y29" i="28"/>
  <c r="AW28" i="28"/>
  <c r="AS28" i="28"/>
  <c r="AO28" i="28"/>
  <c r="AK28" i="28"/>
  <c r="AG28" i="28"/>
  <c r="AC28" i="28"/>
  <c r="Y28" i="28"/>
  <c r="AW27" i="28"/>
  <c r="AS27" i="28"/>
  <c r="AO27" i="28"/>
  <c r="AK27" i="28"/>
  <c r="AG27" i="28"/>
  <c r="AC27" i="28"/>
  <c r="Y27" i="28"/>
  <c r="AW26" i="28"/>
  <c r="AS26" i="28"/>
  <c r="AO26" i="28"/>
  <c r="AK26" i="28"/>
  <c r="AG26" i="28"/>
  <c r="AC26" i="28"/>
  <c r="Y26" i="28"/>
  <c r="AW25" i="28"/>
  <c r="AS25" i="28"/>
  <c r="AO25" i="28"/>
  <c r="AK25" i="28"/>
  <c r="AG25" i="28"/>
  <c r="AC25" i="28"/>
  <c r="Y25" i="28"/>
  <c r="AW24" i="28"/>
  <c r="AS24" i="28"/>
  <c r="AO24" i="28"/>
  <c r="AK24" i="28"/>
  <c r="AG24" i="28"/>
  <c r="AC24" i="28"/>
  <c r="Y24" i="28"/>
  <c r="AW23" i="28"/>
  <c r="AS23" i="28"/>
  <c r="AO23" i="28"/>
  <c r="AK23" i="28"/>
  <c r="AG23" i="28"/>
  <c r="AC23" i="28"/>
  <c r="Y23" i="28"/>
  <c r="AW22" i="28"/>
  <c r="AS22" i="28"/>
  <c r="AO22" i="28"/>
  <c r="AK22" i="28"/>
  <c r="AG22" i="28"/>
  <c r="AC22" i="28"/>
  <c r="Y22" i="28"/>
  <c r="AW21" i="28"/>
  <c r="AS21" i="28"/>
  <c r="AO21" i="28"/>
  <c r="AK21" i="28"/>
  <c r="Y14" i="28"/>
  <c r="AC14" i="28"/>
  <c r="AG14" i="28"/>
  <c r="AK14" i="28"/>
  <c r="AO14" i="28"/>
  <c r="AS14" i="28"/>
  <c r="AW14" i="28"/>
  <c r="Y15" i="28"/>
  <c r="AC15" i="28"/>
  <c r="AG15" i="28"/>
  <c r="AK15" i="28"/>
  <c r="AO15" i="28"/>
  <c r="AO38" i="28"/>
  <c r="AS15" i="28"/>
  <c r="AW15" i="28"/>
  <c r="Y16" i="28"/>
  <c r="AC16" i="28"/>
  <c r="AG16" i="28"/>
  <c r="AK16" i="28"/>
  <c r="AO16" i="28"/>
  <c r="AS16" i="28"/>
  <c r="AW16" i="28"/>
  <c r="Y17" i="28"/>
  <c r="AC17" i="28"/>
  <c r="AG17" i="28"/>
  <c r="AK17" i="28"/>
  <c r="AO17" i="28"/>
  <c r="AS17" i="28"/>
  <c r="AW17" i="28"/>
  <c r="Y18" i="28"/>
  <c r="Y38" i="28"/>
  <c r="AC18" i="28"/>
  <c r="AG18" i="28"/>
  <c r="AK18" i="28"/>
  <c r="AO18" i="28"/>
  <c r="AS18" i="28"/>
  <c r="AW18" i="28"/>
  <c r="Y19" i="28"/>
  <c r="AC19" i="28"/>
  <c r="AC38" i="28"/>
  <c r="AG19" i="28"/>
  <c r="AK19" i="28"/>
  <c r="AO19" i="28"/>
  <c r="AS19" i="28"/>
  <c r="AW19" i="28"/>
  <c r="AC20" i="28"/>
  <c r="AK20" i="28"/>
  <c r="AS20" i="28"/>
  <c r="AC21" i="28"/>
  <c r="I56" i="29"/>
  <c r="U54" i="29"/>
  <c r="S53" i="29"/>
  <c r="S51" i="29"/>
  <c r="K56" i="29"/>
  <c r="I55" i="29"/>
  <c r="U53" i="29"/>
  <c r="U58" i="29"/>
  <c r="U51" i="29"/>
  <c r="AM30" i="29"/>
  <c r="AW29" i="29"/>
  <c r="AG29" i="29"/>
  <c r="AU28" i="29"/>
  <c r="AE28" i="29"/>
  <c r="AO27" i="29"/>
  <c r="Y27" i="29"/>
  <c r="AM26" i="29"/>
  <c r="AW25" i="29"/>
  <c r="AO30" i="29"/>
  <c r="Y30" i="29"/>
  <c r="AY29" i="29"/>
  <c r="AM29" i="29"/>
  <c r="AI29" i="29"/>
  <c r="AW28" i="29"/>
  <c r="AS28" i="29"/>
  <c r="AG28" i="29"/>
  <c r="AC28" i="29"/>
  <c r="Y28" i="29"/>
  <c r="AU27" i="29"/>
  <c r="AQ27" i="29"/>
  <c r="AM27" i="29"/>
  <c r="AE27" i="29"/>
  <c r="AA27" i="29"/>
  <c r="AW26" i="29"/>
  <c r="AS26" i="29"/>
  <c r="W14" i="29"/>
  <c r="W32" i="29"/>
  <c r="W18" i="29"/>
  <c r="W20" i="29"/>
  <c r="W22" i="29"/>
  <c r="Y25" i="29"/>
  <c r="AC25" i="29"/>
  <c r="AG25" i="29"/>
  <c r="AK25" i="29"/>
  <c r="AO25" i="29"/>
  <c r="AS25" i="29"/>
  <c r="AY25" i="29"/>
  <c r="Y26" i="29"/>
  <c r="AG26" i="29"/>
  <c r="AO26" i="29"/>
  <c r="W15" i="29"/>
  <c r="W17" i="29"/>
  <c r="W19" i="29"/>
  <c r="W21" i="29"/>
  <c r="AA25" i="29"/>
  <c r="AE25" i="29"/>
  <c r="AI25" i="29"/>
  <c r="AM25" i="29"/>
  <c r="AQ25" i="29"/>
  <c r="AU25" i="29"/>
  <c r="AC26" i="29"/>
  <c r="AK26" i="29"/>
  <c r="S48" i="29"/>
  <c r="S46" i="29"/>
  <c r="S44" i="29"/>
  <c r="S47" i="29"/>
  <c r="S45" i="29"/>
  <c r="S41" i="29"/>
  <c r="S43" i="29"/>
  <c r="U35" i="29"/>
  <c r="S40" i="29"/>
  <c r="S42" i="29"/>
  <c r="S58" i="29"/>
  <c r="U45" i="29"/>
  <c r="U48" i="29"/>
  <c r="U46" i="29"/>
  <c r="U43" i="29"/>
  <c r="U41" i="29"/>
  <c r="U42" i="29"/>
  <c r="U40" i="29"/>
  <c r="W35" i="29"/>
  <c r="Y52" i="29"/>
  <c r="W56" i="29"/>
  <c r="W53" i="29"/>
  <c r="W54" i="29"/>
  <c r="W51" i="29"/>
  <c r="W55" i="29"/>
  <c r="W46" i="29"/>
  <c r="W44" i="29"/>
  <c r="W47" i="29"/>
  <c r="W42" i="29"/>
  <c r="W40" i="29"/>
  <c r="Y35" i="29"/>
  <c r="W43" i="29"/>
  <c r="W41" i="29"/>
  <c r="Y56" i="29"/>
  <c r="Y51" i="29"/>
  <c r="Y54" i="29"/>
  <c r="Y53" i="29"/>
  <c r="AA51" i="29"/>
  <c r="Y45" i="29"/>
  <c r="Y42" i="29"/>
  <c r="B13" i="12"/>
  <c r="B62" i="12"/>
  <c r="U59" i="7"/>
  <c r="O14" i="23"/>
  <c r="AW40" i="7"/>
  <c r="E10" i="33"/>
  <c r="E8" i="33"/>
  <c r="E15" i="33"/>
  <c r="E12" i="33"/>
  <c r="AA32" i="15"/>
  <c r="C8" i="32"/>
  <c r="K21" i="23"/>
  <c r="Y32" i="15"/>
  <c r="M48" i="15"/>
  <c r="U48" i="15"/>
  <c r="AA49" i="15"/>
  <c r="Q50" i="15"/>
  <c r="W51" i="15"/>
  <c r="S53" i="15"/>
  <c r="Y54" i="15"/>
  <c r="M47" i="15"/>
  <c r="AA48" i="15"/>
  <c r="Q49" i="15"/>
  <c r="W50" i="15"/>
  <c r="M51" i="15"/>
  <c r="Y53" i="15"/>
  <c r="O54" i="15"/>
  <c r="U55" i="15"/>
  <c r="S47" i="15"/>
  <c r="U50" i="15"/>
  <c r="AA51" i="15"/>
  <c r="Q55" i="15"/>
  <c r="AA55" i="15"/>
  <c r="Y47" i="15"/>
  <c r="O48" i="15"/>
  <c r="Q51" i="15"/>
  <c r="M53" i="15"/>
  <c r="S55" i="15"/>
  <c r="S56" i="15"/>
  <c r="AA56" i="15"/>
  <c r="Y57" i="15"/>
  <c r="O58" i="15"/>
  <c r="W58" i="15"/>
  <c r="U59" i="15"/>
  <c r="AC59" i="15"/>
  <c r="Q61" i="15"/>
  <c r="O62" i="15"/>
  <c r="W62" i="15"/>
  <c r="M63" i="15"/>
  <c r="S64" i="15"/>
  <c r="AA64" i="15"/>
  <c r="Q65" i="15"/>
  <c r="O66" i="15"/>
  <c r="W66" i="15"/>
  <c r="M67" i="15"/>
  <c r="U67" i="15"/>
  <c r="AC67" i="15"/>
  <c r="K55" i="15"/>
  <c r="K59" i="15"/>
  <c r="K63" i="15"/>
  <c r="K67" i="15"/>
  <c r="K50" i="15"/>
  <c r="I56" i="15"/>
  <c r="I64" i="15"/>
  <c r="I52" i="15"/>
  <c r="I49" i="15"/>
  <c r="AE14" i="15"/>
  <c r="AM14" i="15"/>
  <c r="AU14" i="15"/>
  <c r="AC15" i="15"/>
  <c r="AK15" i="15"/>
  <c r="AS15" i="15"/>
  <c r="AA16" i="15"/>
  <c r="AI16" i="15"/>
  <c r="AQ16" i="15"/>
  <c r="Q48" i="15"/>
  <c r="W49" i="15"/>
  <c r="O53" i="15"/>
  <c r="U54" i="15"/>
  <c r="W55" i="15"/>
  <c r="M56" i="15"/>
  <c r="O57" i="15"/>
  <c r="AA57" i="15"/>
  <c r="U58" i="15"/>
  <c r="Q59" i="15"/>
  <c r="AA59" i="15"/>
  <c r="S61" i="15"/>
  <c r="M62" i="15"/>
  <c r="Y62" i="15"/>
  <c r="S63" i="15"/>
  <c r="O64" i="15"/>
  <c r="Y64" i="15"/>
  <c r="U65" i="15"/>
  <c r="Q66" i="15"/>
  <c r="AA66" i="15"/>
  <c r="W67" i="15"/>
  <c r="K53" i="15"/>
  <c r="K58" i="15"/>
  <c r="K64" i="15"/>
  <c r="K47" i="15"/>
  <c r="I57" i="15"/>
  <c r="I62" i="15"/>
  <c r="I67" i="15"/>
  <c r="I47" i="15"/>
  <c r="AI14" i="15"/>
  <c r="AS14" i="15"/>
  <c r="AE15" i="15"/>
  <c r="AO15" i="15"/>
  <c r="AY15" i="15"/>
  <c r="AK16" i="15"/>
  <c r="AU16" i="15"/>
  <c r="AC17" i="15"/>
  <c r="AK17" i="15"/>
  <c r="AS17" i="15"/>
  <c r="AA18" i="15"/>
  <c r="AI18" i="15"/>
  <c r="AQ18" i="15"/>
  <c r="AY18" i="15"/>
  <c r="AE20" i="15"/>
  <c r="AM20" i="15"/>
  <c r="AU20" i="15"/>
  <c r="AU38" i="15"/>
  <c r="AC21" i="15"/>
  <c r="AK21" i="15"/>
  <c r="AS21" i="15"/>
  <c r="AA22" i="15"/>
  <c r="AI22" i="15"/>
  <c r="AQ22" i="15"/>
  <c r="AY22" i="15"/>
  <c r="AG23" i="15"/>
  <c r="AO23" i="15"/>
  <c r="AW23" i="15"/>
  <c r="AE24" i="15"/>
  <c r="AM24" i="15"/>
  <c r="AU24" i="15"/>
  <c r="AC25" i="15"/>
  <c r="AK25" i="15"/>
  <c r="AS25" i="15"/>
  <c r="AA26" i="15"/>
  <c r="AI26" i="15"/>
  <c r="AQ26" i="15"/>
  <c r="AY26" i="15"/>
  <c r="AE28" i="15"/>
  <c r="AM28" i="15"/>
  <c r="AU28" i="15"/>
  <c r="AC29" i="15"/>
  <c r="AK29" i="15"/>
  <c r="AS29" i="15"/>
  <c r="AA30" i="15"/>
  <c r="AI30" i="15"/>
  <c r="AQ30" i="15"/>
  <c r="AY30" i="15"/>
  <c r="AG31" i="15"/>
  <c r="AO31" i="15"/>
  <c r="U31" i="15"/>
  <c r="AW31" i="15"/>
  <c r="AE32" i="15"/>
  <c r="AM32" i="15"/>
  <c r="AU32" i="15"/>
  <c r="AC33" i="15"/>
  <c r="AK33" i="15"/>
  <c r="AS33" i="15"/>
  <c r="AA34" i="15"/>
  <c r="U34" i="15"/>
  <c r="AI34" i="15"/>
  <c r="AQ34" i="15"/>
  <c r="AY34" i="15"/>
  <c r="Y21" i="15"/>
  <c r="Y25" i="15"/>
  <c r="Y29" i="15"/>
  <c r="Y34" i="15"/>
  <c r="Y17" i="15"/>
  <c r="Q47" i="15"/>
  <c r="W48" i="15"/>
  <c r="U53" i="15"/>
  <c r="AA54" i="15"/>
  <c r="Y55" i="15"/>
  <c r="O56" i="15"/>
  <c r="S57" i="15"/>
  <c r="M58" i="15"/>
  <c r="Y58" i="15"/>
  <c r="S59" i="15"/>
  <c r="U61" i="15"/>
  <c r="Q62" i="15"/>
  <c r="AA62" i="15"/>
  <c r="W63" i="15"/>
  <c r="Q64" i="15"/>
  <c r="M65" i="15"/>
  <c r="W65" i="15"/>
  <c r="S66" i="15"/>
  <c r="O67" i="15"/>
  <c r="Y67" i="15"/>
  <c r="K54" i="15"/>
  <c r="K65" i="15"/>
  <c r="K51" i="15"/>
  <c r="I53" i="15"/>
  <c r="I58" i="15"/>
  <c r="I63" i="15"/>
  <c r="I51" i="15"/>
  <c r="AA14" i="15"/>
  <c r="AK14" i="15"/>
  <c r="AW14" i="15"/>
  <c r="AG15" i="15"/>
  <c r="AQ15" i="15"/>
  <c r="AC16" i="15"/>
  <c r="AM16" i="15"/>
  <c r="AW16" i="15"/>
  <c r="AE17" i="15"/>
  <c r="AM17" i="15"/>
  <c r="AU17" i="15"/>
  <c r="AC18" i="15"/>
  <c r="AK18" i="15"/>
  <c r="AS18" i="15"/>
  <c r="AG20" i="15"/>
  <c r="AO20" i="15"/>
  <c r="AW20" i="15"/>
  <c r="AE21" i="15"/>
  <c r="AM21" i="15"/>
  <c r="AU21" i="15"/>
  <c r="AC22" i="15"/>
  <c r="AK22" i="15"/>
  <c r="AS22" i="15"/>
  <c r="AA23" i="15"/>
  <c r="AI23" i="15"/>
  <c r="AQ23" i="15"/>
  <c r="AY23" i="15"/>
  <c r="AG24" i="15"/>
  <c r="AO24" i="15"/>
  <c r="U24" i="15"/>
  <c r="AW24" i="15"/>
  <c r="AE25" i="15"/>
  <c r="AM25" i="15"/>
  <c r="AU25" i="15"/>
  <c r="AC26" i="15"/>
  <c r="AK26" i="15"/>
  <c r="AS26" i="15"/>
  <c r="AG28" i="15"/>
  <c r="U28" i="15"/>
  <c r="AO28" i="15"/>
  <c r="AW28" i="15"/>
  <c r="AE29" i="15"/>
  <c r="AM29" i="15"/>
  <c r="AU29" i="15"/>
  <c r="AC30" i="15"/>
  <c r="AK30" i="15"/>
  <c r="AS30" i="15"/>
  <c r="U30" i="15"/>
  <c r="AA31" i="15"/>
  <c r="AI31" i="15"/>
  <c r="AQ31" i="15"/>
  <c r="AY31" i="15"/>
  <c r="AG32" i="15"/>
  <c r="AO32" i="15"/>
  <c r="AW32" i="15"/>
  <c r="AE33" i="15"/>
  <c r="AM33" i="15"/>
  <c r="AU33" i="15"/>
  <c r="AC34" i="15"/>
  <c r="AK34" i="15"/>
  <c r="AS34" i="15"/>
  <c r="AQ35" i="15"/>
  <c r="Y22" i="15"/>
  <c r="Y26" i="15"/>
  <c r="U26" i="15"/>
  <c r="Y31" i="15"/>
  <c r="Y16" i="15"/>
  <c r="M49" i="15"/>
  <c r="Y51" i="15"/>
  <c r="M57" i="15"/>
  <c r="Y59" i="15"/>
  <c r="O61" i="15"/>
  <c r="AA63" i="15"/>
  <c r="W64" i="15"/>
  <c r="S65" i="15"/>
  <c r="M66" i="15"/>
  <c r="K57" i="15"/>
  <c r="I55" i="15"/>
  <c r="I66" i="15"/>
  <c r="AG14" i="15"/>
  <c r="AA15" i="15"/>
  <c r="AA38" i="15"/>
  <c r="AW15" i="15"/>
  <c r="AS16" i="15"/>
  <c r="AI17" i="15"/>
  <c r="AY17" i="15"/>
  <c r="AO18" i="15"/>
  <c r="AK20" i="15"/>
  <c r="AA21" i="15"/>
  <c r="AQ21" i="15"/>
  <c r="AG22" i="15"/>
  <c r="AW22" i="15"/>
  <c r="AM23" i="15"/>
  <c r="AC24" i="15"/>
  <c r="AS24" i="15"/>
  <c r="AI25" i="15"/>
  <c r="AY25" i="15"/>
  <c r="AO26" i="15"/>
  <c r="AK28" i="15"/>
  <c r="AA29" i="15"/>
  <c r="AQ29" i="15"/>
  <c r="AG30" i="15"/>
  <c r="AW30" i="15"/>
  <c r="AM31" i="15"/>
  <c r="AC32" i="15"/>
  <c r="AS32" i="15"/>
  <c r="AI33" i="15"/>
  <c r="AY33" i="15"/>
  <c r="AO34" i="15"/>
  <c r="Y24" i="15"/>
  <c r="Y33" i="15"/>
  <c r="Y14" i="15"/>
  <c r="AA47" i="15"/>
  <c r="M50" i="15"/>
  <c r="U17" i="15"/>
  <c r="U56" i="15"/>
  <c r="U57" i="15"/>
  <c r="Q58" i="15"/>
  <c r="W61" i="15"/>
  <c r="S62" i="15"/>
  <c r="O63" i="15"/>
  <c r="AA65" i="15"/>
  <c r="U66" i="15"/>
  <c r="Q67" i="15"/>
  <c r="K61" i="15"/>
  <c r="K49" i="15"/>
  <c r="I59" i="15"/>
  <c r="I50" i="15"/>
  <c r="AO14" i="15"/>
  <c r="AI15" i="15"/>
  <c r="AE16" i="15"/>
  <c r="AE38" i="15"/>
  <c r="AY16" i="15"/>
  <c r="AO17" i="15"/>
  <c r="AE18" i="15"/>
  <c r="AU18" i="15"/>
  <c r="AA20" i="15"/>
  <c r="AQ20" i="15"/>
  <c r="AG21" i="15"/>
  <c r="AW21" i="15"/>
  <c r="AM22" i="15"/>
  <c r="AC23" i="15"/>
  <c r="AS23" i="15"/>
  <c r="AI24" i="15"/>
  <c r="AY24" i="15"/>
  <c r="AO25" i="15"/>
  <c r="AE26" i="15"/>
  <c r="AU26" i="15"/>
  <c r="AA28" i="15"/>
  <c r="AQ28" i="15"/>
  <c r="AG29" i="15"/>
  <c r="AW29" i="15"/>
  <c r="AM30" i="15"/>
  <c r="AC31" i="15"/>
  <c r="AS31" i="15"/>
  <c r="AI32" i="15"/>
  <c r="U32" i="15"/>
  <c r="AY32" i="15"/>
  <c r="AO33" i="15"/>
  <c r="AE34" i="15"/>
  <c r="AU34" i="15"/>
  <c r="Y30" i="15"/>
  <c r="Y27" i="15"/>
  <c r="S50" i="15"/>
  <c r="O55" i="15"/>
  <c r="W56" i="15"/>
  <c r="W57" i="15"/>
  <c r="S58" i="15"/>
  <c r="O59" i="15"/>
  <c r="AA61" i="15"/>
  <c r="U62" i="15"/>
  <c r="Q63" i="15"/>
  <c r="M64" i="15"/>
  <c r="Y66" i="15"/>
  <c r="S67" i="15"/>
  <c r="K62" i="15"/>
  <c r="K48" i="15"/>
  <c r="I61" i="15"/>
  <c r="I48" i="15"/>
  <c r="AQ14" i="15"/>
  <c r="AM15" i="15"/>
  <c r="AM38" i="15"/>
  <c r="AG16" i="15"/>
  <c r="AA17" i="15"/>
  <c r="AQ17" i="15"/>
  <c r="AG18" i="15"/>
  <c r="AW18" i="15"/>
  <c r="AC20" i="15"/>
  <c r="AS20" i="15"/>
  <c r="AI21" i="15"/>
  <c r="U21" i="15"/>
  <c r="AY21" i="15"/>
  <c r="AO22" i="15"/>
  <c r="AE23" i="15"/>
  <c r="AU23" i="15"/>
  <c r="AK24" i="15"/>
  <c r="AA25" i="15"/>
  <c r="AQ25" i="15"/>
  <c r="AG26" i="15"/>
  <c r="AW26" i="15"/>
  <c r="AC28" i="15"/>
  <c r="AS28" i="15"/>
  <c r="AI29" i="15"/>
  <c r="AY29" i="15"/>
  <c r="AO30" i="15"/>
  <c r="AE31" i="15"/>
  <c r="AU31" i="15"/>
  <c r="AK32" i="15"/>
  <c r="AA33" i="15"/>
  <c r="AQ33" i="15"/>
  <c r="AG34" i="15"/>
  <c r="AW34" i="15"/>
  <c r="Y20" i="15"/>
  <c r="Y28" i="15"/>
  <c r="Y18" i="15"/>
  <c r="U18" i="15"/>
  <c r="Y23" i="15"/>
  <c r="AW33" i="15"/>
  <c r="AK31" i="15"/>
  <c r="AY28" i="15"/>
  <c r="AM26" i="15"/>
  <c r="AA24" i="15"/>
  <c r="AO21" i="15"/>
  <c r="AO16" i="15"/>
  <c r="I65" i="15"/>
  <c r="O65" i="15"/>
  <c r="AA58" i="15"/>
  <c r="AG33" i="15"/>
  <c r="AU30" i="15"/>
  <c r="AI28" i="15"/>
  <c r="AW25" i="15"/>
  <c r="AK23" i="15"/>
  <c r="U23" i="15"/>
  <c r="AY20" i="15"/>
  <c r="AM18" i="15"/>
  <c r="AU15" i="15"/>
  <c r="I54" i="15"/>
  <c r="AA67" i="15"/>
  <c r="U64" i="15"/>
  <c r="M61" i="15"/>
  <c r="S51" i="15"/>
  <c r="Y15" i="15"/>
  <c r="AQ32" i="15"/>
  <c r="AE30" i="15"/>
  <c r="AG25" i="15"/>
  <c r="AU22" i="15"/>
  <c r="AI20" i="15"/>
  <c r="AW17" i="15"/>
  <c r="AY14" i="15"/>
  <c r="AY38" i="15"/>
  <c r="K66" i="15"/>
  <c r="Y63" i="15"/>
  <c r="S38" i="28"/>
  <c r="C10" i="32"/>
  <c r="Q14" i="23"/>
  <c r="O21" i="23"/>
  <c r="W59" i="7"/>
  <c r="Y59" i="7"/>
  <c r="C11" i="32"/>
  <c r="Q21" i="23"/>
  <c r="S14" i="23"/>
  <c r="U14" i="23"/>
  <c r="S21" i="23"/>
  <c r="M52" i="29"/>
  <c r="Q56" i="29"/>
  <c r="O55" i="29"/>
  <c r="M54" i="29"/>
  <c r="K53" i="29"/>
  <c r="S56" i="29"/>
  <c r="Q55" i="29"/>
  <c r="O54" i="29"/>
  <c r="M53" i="29"/>
  <c r="M51" i="29"/>
  <c r="AU30" i="29"/>
  <c r="AE30" i="29"/>
  <c r="AO29" i="29"/>
  <c r="Y29" i="29"/>
  <c r="AM28" i="29"/>
  <c r="AW27" i="29"/>
  <c r="AW32" i="29"/>
  <c r="AG27" i="29"/>
  <c r="AU26" i="29"/>
  <c r="AE26" i="29"/>
  <c r="AW30" i="29"/>
  <c r="AG30" i="29"/>
  <c r="AU29" i="29"/>
  <c r="AE29" i="29"/>
  <c r="AO28" i="29"/>
  <c r="U28" i="29"/>
  <c r="S52" i="29"/>
  <c r="M56" i="29"/>
  <c r="K55" i="29"/>
  <c r="I54" i="29"/>
  <c r="I52" i="29"/>
  <c r="O56" i="29"/>
  <c r="M55" i="29"/>
  <c r="M58" i="29"/>
  <c r="K54" i="29"/>
  <c r="I53" i="29"/>
  <c r="I51" i="29"/>
  <c r="AQ30" i="29"/>
  <c r="AA30" i="29"/>
  <c r="AK29" i="29"/>
  <c r="AY28" i="29"/>
  <c r="AI28" i="29"/>
  <c r="AS27" i="29"/>
  <c r="AC27" i="29"/>
  <c r="AQ26" i="29"/>
  <c r="AA26" i="29"/>
  <c r="AS30" i="29"/>
  <c r="AC30" i="29"/>
  <c r="AQ29" i="29"/>
  <c r="AA29" i="29"/>
  <c r="AK28" i="29"/>
  <c r="AY27" i="29"/>
  <c r="AI27" i="29"/>
  <c r="K52" i="29"/>
  <c r="U56" i="29"/>
  <c r="S55" i="29"/>
  <c r="Q54" i="29"/>
  <c r="O53" i="29"/>
  <c r="O51" i="29"/>
  <c r="U55" i="29"/>
  <c r="S54" i="29"/>
  <c r="Q53" i="29"/>
  <c r="Q51" i="29"/>
  <c r="AY30" i="29"/>
  <c r="AI30" i="29"/>
  <c r="AS29" i="29"/>
  <c r="AC29" i="29"/>
  <c r="AQ28" i="29"/>
  <c r="AA28" i="29"/>
  <c r="AK27" i="29"/>
  <c r="AY26" i="29"/>
  <c r="AI26" i="29"/>
  <c r="AK30" i="29"/>
  <c r="AE22" i="15"/>
  <c r="AA21" i="28"/>
  <c r="AM34" i="15"/>
  <c r="AQ24" i="15"/>
  <c r="AC14" i="15"/>
  <c r="K51" i="29"/>
  <c r="AA52" i="29"/>
  <c r="U52" i="29"/>
  <c r="AO29" i="15"/>
  <c r="W59" i="15"/>
  <c r="Q52" i="29"/>
  <c r="Q58" i="29"/>
  <c r="O52" i="29"/>
  <c r="U26" i="29"/>
  <c r="AC27" i="15"/>
  <c r="W52" i="29"/>
  <c r="V56" i="12"/>
  <c r="AE14" i="28"/>
  <c r="AU14" i="28"/>
  <c r="AU38" i="28"/>
  <c r="AI15" i="28"/>
  <c r="AY15" i="28"/>
  <c r="AY38" i="28"/>
  <c r="AM16" i="28"/>
  <c r="AA17" i="28"/>
  <c r="AQ17" i="28"/>
  <c r="AE18" i="28"/>
  <c r="AU18" i="28"/>
  <c r="AI19" i="28"/>
  <c r="AY19" i="28"/>
  <c r="AW20" i="28"/>
  <c r="M68" i="28"/>
  <c r="K67" i="28"/>
  <c r="I66" i="28"/>
  <c r="W65" i="28"/>
  <c r="U64" i="28"/>
  <c r="S63" i="28"/>
  <c r="Q62" i="28"/>
  <c r="O61" i="28"/>
  <c r="M60" i="28"/>
  <c r="K68" i="28"/>
  <c r="I67" i="28"/>
  <c r="W66" i="28"/>
  <c r="U65" i="28"/>
  <c r="S64" i="28"/>
  <c r="Q63" i="28"/>
  <c r="O62" i="28"/>
  <c r="M61" i="28"/>
  <c r="K60" i="28"/>
  <c r="Q59" i="28"/>
  <c r="AI14" i="28"/>
  <c r="AY14" i="28"/>
  <c r="AM15" i="28"/>
  <c r="AM38" i="28"/>
  <c r="AA16" i="28"/>
  <c r="AQ16" i="28"/>
  <c r="AE17" i="28"/>
  <c r="AU17" i="28"/>
  <c r="AI18" i="28"/>
  <c r="AY18" i="28"/>
  <c r="AM19" i="28"/>
  <c r="Y20" i="28"/>
  <c r="U20" i="28"/>
  <c r="Y21" i="28"/>
  <c r="I68" i="28"/>
  <c r="W67" i="28"/>
  <c r="U66" i="28"/>
  <c r="S65" i="28"/>
  <c r="Q64" i="28"/>
  <c r="O63" i="28"/>
  <c r="M62" i="28"/>
  <c r="U29" i="28"/>
  <c r="K61" i="28"/>
  <c r="I60" i="28"/>
  <c r="W59" i="28"/>
  <c r="W68" i="28"/>
  <c r="U67" i="28"/>
  <c r="S66" i="28"/>
  <c r="Q65" i="28"/>
  <c r="AG21" i="28"/>
  <c r="AG38" i="28"/>
  <c r="AA14" i="28"/>
  <c r="AQ14" i="28"/>
  <c r="AE15" i="28"/>
  <c r="AU15" i="28"/>
  <c r="AI16" i="28"/>
  <c r="AY16" i="28"/>
  <c r="AM17" i="28"/>
  <c r="AA18" i="28"/>
  <c r="AA38" i="28"/>
  <c r="AQ18" i="28"/>
  <c r="AE19" i="28"/>
  <c r="AU19" i="28"/>
  <c r="AO20" i="28"/>
  <c r="Q68" i="28"/>
  <c r="O67" i="28"/>
  <c r="M66" i="28"/>
  <c r="K65" i="28"/>
  <c r="U32" i="28"/>
  <c r="I64" i="28"/>
  <c r="W63" i="28"/>
  <c r="U62" i="28"/>
  <c r="S61" i="28"/>
  <c r="Q60" i="28"/>
  <c r="O68" i="28"/>
  <c r="M67" i="28"/>
  <c r="K66" i="28"/>
  <c r="U33" i="28"/>
  <c r="I65" i="28"/>
  <c r="W64" i="28"/>
  <c r="U63" i="28"/>
  <c r="S62" i="28"/>
  <c r="Q61" i="28"/>
  <c r="O60" i="28"/>
  <c r="U59" i="28"/>
  <c r="B6" i="5"/>
  <c r="X56" i="12"/>
  <c r="B7" i="5"/>
  <c r="B5" i="5"/>
  <c r="A15" i="7"/>
  <c r="P43" i="15"/>
  <c r="AC42" i="7"/>
  <c r="Y42" i="7"/>
  <c r="AO41" i="7"/>
  <c r="AS42" i="7"/>
  <c r="W26" i="7"/>
  <c r="Y53" i="7"/>
  <c r="AQ50" i="7"/>
  <c r="AM48" i="7"/>
  <c r="AA46" i="7"/>
  <c r="AS43" i="7"/>
  <c r="AO54" i="7"/>
  <c r="AC52" i="7"/>
  <c r="Y50" i="7"/>
  <c r="AQ47" i="7"/>
  <c r="AM45" i="7"/>
  <c r="S56" i="7"/>
  <c r="AE54" i="7"/>
  <c r="AW51" i="7"/>
  <c r="AK49" i="7"/>
  <c r="AO47" i="7"/>
  <c r="AC45" i="7"/>
  <c r="Y43" i="7"/>
  <c r="AC54" i="7"/>
  <c r="Y52" i="7"/>
  <c r="AQ49" i="7"/>
  <c r="AM47" i="7"/>
  <c r="AI45" i="7"/>
  <c r="A64" i="7"/>
  <c r="A65" i="7"/>
  <c r="A16" i="7"/>
  <c r="A17" i="7"/>
  <c r="A66" i="7"/>
  <c r="A67" i="7"/>
  <c r="A18" i="7"/>
  <c r="A19" i="7"/>
  <c r="A68" i="7"/>
  <c r="W40" i="7"/>
  <c r="W90" i="7"/>
  <c r="W44" i="7"/>
  <c r="K104" i="7"/>
  <c r="S101" i="7"/>
  <c r="Q97" i="7"/>
  <c r="Q93" i="7"/>
  <c r="K92" i="7"/>
  <c r="O102" i="7"/>
  <c r="M98" i="7"/>
  <c r="M94" i="7"/>
  <c r="I102" i="7"/>
  <c r="S104" i="7"/>
  <c r="Q100" i="7"/>
  <c r="O96" i="7"/>
  <c r="O92" i="7"/>
  <c r="K94" i="7"/>
  <c r="U101" i="7"/>
  <c r="M91" i="7"/>
  <c r="A69" i="7"/>
  <c r="A20" i="7"/>
  <c r="K58" i="29"/>
  <c r="B63" i="12"/>
  <c r="B14" i="12"/>
  <c r="B64" i="12"/>
  <c r="W19" i="15"/>
  <c r="U52" i="15"/>
  <c r="AA52" i="15"/>
  <c r="W52" i="15"/>
  <c r="AO19" i="15"/>
  <c r="AY19" i="15"/>
  <c r="Y19" i="15"/>
  <c r="AM19" i="15"/>
  <c r="S38" i="15"/>
  <c r="AW19" i="15"/>
  <c r="AA19" i="15"/>
  <c r="AC19" i="15"/>
  <c r="AC38" i="15"/>
  <c r="Q52" i="15"/>
  <c r="O52" i="15"/>
  <c r="AI19" i="15"/>
  <c r="AE19" i="15"/>
  <c r="M52" i="15"/>
  <c r="S52" i="15"/>
  <c r="K52" i="15"/>
  <c r="AG19" i="15"/>
  <c r="U19" i="15"/>
  <c r="AU19" i="15"/>
  <c r="AQ19" i="15"/>
  <c r="Y52" i="15"/>
  <c r="AK19" i="15"/>
  <c r="AS19" i="15"/>
  <c r="W27" i="15"/>
  <c r="S60" i="15"/>
  <c r="W60" i="15"/>
  <c r="K60" i="15"/>
  <c r="AI27" i="15"/>
  <c r="AU27" i="15"/>
  <c r="AK27" i="15"/>
  <c r="AS27" i="15"/>
  <c r="AA60" i="15"/>
  <c r="I60" i="15"/>
  <c r="AG27" i="15"/>
  <c r="AQ27" i="15"/>
  <c r="AM27" i="15"/>
  <c r="Q60" i="15"/>
  <c r="AO27" i="15"/>
  <c r="O60" i="15"/>
  <c r="AY27" i="15"/>
  <c r="AW27" i="15"/>
  <c r="AA27" i="15"/>
  <c r="U60" i="15"/>
  <c r="AE27" i="15"/>
  <c r="M60" i="15"/>
  <c r="Y60" i="15"/>
  <c r="AC60" i="15"/>
  <c r="W35" i="15"/>
  <c r="S68" i="15"/>
  <c r="AO35" i="15"/>
  <c r="AY35" i="15"/>
  <c r="Y35" i="15"/>
  <c r="K68" i="15"/>
  <c r="AE35" i="15"/>
  <c r="O68" i="15"/>
  <c r="W68" i="15"/>
  <c r="AA68" i="15"/>
  <c r="AW35" i="15"/>
  <c r="U68" i="15"/>
  <c r="AA35" i="15"/>
  <c r="AU35" i="15"/>
  <c r="AK35" i="15"/>
  <c r="AS35" i="15"/>
  <c r="AC35" i="15"/>
  <c r="Q68" i="15"/>
  <c r="AI35" i="15"/>
  <c r="Y68" i="15"/>
  <c r="AM35" i="15"/>
  <c r="I68" i="15"/>
  <c r="AC68" i="15"/>
  <c r="AG35" i="15"/>
  <c r="M68" i="15"/>
  <c r="M14" i="30"/>
  <c r="K21" i="30"/>
  <c r="E7" i="32"/>
  <c r="U21" i="23"/>
  <c r="W14" i="23"/>
  <c r="K25" i="23"/>
  <c r="Y46" i="29"/>
  <c r="Y48" i="29"/>
  <c r="AA55" i="29"/>
  <c r="Y40" i="29"/>
  <c r="Y41" i="29"/>
  <c r="Y58" i="29"/>
  <c r="AA35" i="29"/>
  <c r="Y44" i="29"/>
  <c r="AA54" i="29"/>
  <c r="AA53" i="29"/>
  <c r="Y43" i="29"/>
  <c r="Y47" i="29"/>
  <c r="AA56" i="29"/>
  <c r="AC42" i="15"/>
  <c r="AC47" i="15"/>
  <c r="AC50" i="15"/>
  <c r="AC52" i="15"/>
  <c r="AC54" i="15"/>
  <c r="AC55" i="15"/>
  <c r="AC63" i="15"/>
  <c r="AC56" i="15"/>
  <c r="AC49" i="15"/>
  <c r="AC57" i="15"/>
  <c r="AC58" i="15"/>
  <c r="AC65" i="15"/>
  <c r="AC51" i="15"/>
  <c r="AC53" i="15"/>
  <c r="AC61" i="15"/>
  <c r="AC64" i="15"/>
  <c r="AC66" i="15"/>
  <c r="C12" i="32"/>
  <c r="W67" i="7"/>
  <c r="W71" i="7"/>
  <c r="W75" i="7"/>
  <c r="W79" i="7"/>
  <c r="W83" i="7"/>
  <c r="W87" i="7"/>
  <c r="W68" i="7"/>
  <c r="W72" i="7"/>
  <c r="W76" i="7"/>
  <c r="W80" i="7"/>
  <c r="W84" i="7"/>
  <c r="W65" i="7"/>
  <c r="W73" i="7"/>
  <c r="W81" i="7"/>
  <c r="W66" i="7"/>
  <c r="W74" i="7"/>
  <c r="W82" i="7"/>
  <c r="W69" i="7"/>
  <c r="W77" i="7"/>
  <c r="W85" i="7"/>
  <c r="W64" i="7"/>
  <c r="W70" i="7"/>
  <c r="W78" i="7"/>
  <c r="W86" i="7"/>
  <c r="Y66" i="7"/>
  <c r="Y70" i="7"/>
  <c r="Y74" i="7"/>
  <c r="Y78" i="7"/>
  <c r="Y82" i="7"/>
  <c r="Y86" i="7"/>
  <c r="Y67" i="7"/>
  <c r="Y71" i="7"/>
  <c r="Y75" i="7"/>
  <c r="Y79" i="7"/>
  <c r="Y83" i="7"/>
  <c r="Y87" i="7"/>
  <c r="Y64" i="7"/>
  <c r="Y65" i="7"/>
  <c r="Y68" i="7"/>
  <c r="Y73" i="7"/>
  <c r="Y76" i="7"/>
  <c r="Y81" i="7"/>
  <c r="Y84" i="7"/>
  <c r="Y69" i="7"/>
  <c r="Y72" i="7"/>
  <c r="Y77" i="7"/>
  <c r="Y80" i="7"/>
  <c r="Y85" i="7"/>
  <c r="U68" i="7"/>
  <c r="U72" i="7"/>
  <c r="U76" i="7"/>
  <c r="U80" i="7"/>
  <c r="U84" i="7"/>
  <c r="U64" i="7"/>
  <c r="U65" i="7"/>
  <c r="U69" i="7"/>
  <c r="U73" i="7"/>
  <c r="U77" i="7"/>
  <c r="U81" i="7"/>
  <c r="U85" i="7"/>
  <c r="U66" i="7"/>
  <c r="U70" i="7"/>
  <c r="U74" i="7"/>
  <c r="U78" i="7"/>
  <c r="U82" i="7"/>
  <c r="U86" i="7"/>
  <c r="U71" i="7"/>
  <c r="U79" i="7"/>
  <c r="U87" i="7"/>
  <c r="U67" i="7"/>
  <c r="U75" i="7"/>
  <c r="U83" i="7"/>
  <c r="W61" i="28"/>
  <c r="W60" i="28"/>
  <c r="W58" i="28"/>
  <c r="W50" i="28"/>
  <c r="W51" i="28"/>
  <c r="W62" i="28"/>
  <c r="W52" i="28"/>
  <c r="W53" i="28"/>
  <c r="W47" i="28"/>
  <c r="W42" i="28"/>
  <c r="W54" i="28"/>
  <c r="W55" i="28"/>
  <c r="W16" i="29"/>
  <c r="S32" i="29"/>
  <c r="AA59" i="7"/>
  <c r="Y55" i="29"/>
  <c r="W45" i="29"/>
  <c r="W48" i="29"/>
  <c r="U22" i="29"/>
  <c r="U47" i="29"/>
  <c r="U44" i="29"/>
  <c r="C9" i="32"/>
  <c r="M21" i="23"/>
  <c r="W38" i="28"/>
  <c r="AG17" i="15"/>
  <c r="S64" i="7"/>
  <c r="S65" i="7"/>
  <c r="S69" i="7"/>
  <c r="S73" i="7"/>
  <c r="S77" i="7"/>
  <c r="S81" i="7"/>
  <c r="S85" i="7"/>
  <c r="S66" i="7"/>
  <c r="S70" i="7"/>
  <c r="S74" i="7"/>
  <c r="S78" i="7"/>
  <c r="S82" i="7"/>
  <c r="S86" i="7"/>
  <c r="S67" i="7"/>
  <c r="S71" i="7"/>
  <c r="S75" i="7"/>
  <c r="S79" i="7"/>
  <c r="S83" i="7"/>
  <c r="S87" i="7"/>
  <c r="S68" i="7"/>
  <c r="S76" i="7"/>
  <c r="S84" i="7"/>
  <c r="S72" i="7"/>
  <c r="S80" i="7"/>
  <c r="K24" i="30"/>
  <c r="K25" i="30"/>
  <c r="K26" i="30"/>
  <c r="A70" i="7"/>
  <c r="A21" i="7"/>
  <c r="AA64" i="7"/>
  <c r="AA65" i="7"/>
  <c r="AA69" i="7"/>
  <c r="AA73" i="7"/>
  <c r="AA77" i="7"/>
  <c r="AA81" i="7"/>
  <c r="AA85" i="7"/>
  <c r="AA66" i="7"/>
  <c r="AA70" i="7"/>
  <c r="AA74" i="7"/>
  <c r="AA78" i="7"/>
  <c r="AA82" i="7"/>
  <c r="AA86" i="7"/>
  <c r="AA68" i="7"/>
  <c r="AA72" i="7"/>
  <c r="AA76" i="7"/>
  <c r="AA80" i="7"/>
  <c r="AA84" i="7"/>
  <c r="AA71" i="7"/>
  <c r="AA79" i="7"/>
  <c r="AA87" i="7"/>
  <c r="AA67" i="7"/>
  <c r="AA75" i="7"/>
  <c r="AA83" i="7"/>
  <c r="AC59" i="7"/>
  <c r="AC90" i="7"/>
  <c r="AC97" i="7"/>
  <c r="E8" i="32"/>
  <c r="Y14" i="23"/>
  <c r="W21" i="23"/>
  <c r="M21" i="30"/>
  <c r="O14" i="30"/>
  <c r="AA48" i="29"/>
  <c r="AC51" i="29"/>
  <c r="AA47" i="29"/>
  <c r="AC54" i="29"/>
  <c r="AA45" i="29"/>
  <c r="AA46" i="29"/>
  <c r="AC53" i="29"/>
  <c r="AC55" i="29"/>
  <c r="AA43" i="29"/>
  <c r="AA42" i="29"/>
  <c r="AA44" i="29"/>
  <c r="AC35" i="29"/>
  <c r="AA40" i="29"/>
  <c r="AC56" i="29"/>
  <c r="AA41" i="29"/>
  <c r="AC52" i="29"/>
  <c r="AW38" i="15"/>
  <c r="M25" i="23"/>
  <c r="O25" i="23"/>
  <c r="Q25" i="23"/>
  <c r="S25" i="23"/>
  <c r="U25" i="23"/>
  <c r="W25" i="23"/>
  <c r="Y25" i="23"/>
  <c r="AA25" i="23"/>
  <c r="AC25" i="23"/>
  <c r="AE25" i="23"/>
  <c r="AG25" i="23"/>
  <c r="AI25" i="23"/>
  <c r="AK25" i="23"/>
  <c r="I42" i="23"/>
  <c r="K42" i="23"/>
  <c r="Y61" i="28"/>
  <c r="Y51" i="28"/>
  <c r="Y59" i="28"/>
  <c r="Y52" i="28"/>
  <c r="Y63" i="28"/>
  <c r="Y53" i="28"/>
  <c r="Y54" i="28"/>
  <c r="Y48" i="28"/>
  <c r="Y62" i="28"/>
  <c r="Y55" i="28"/>
  <c r="Y56" i="28"/>
  <c r="Y47" i="28"/>
  <c r="Y42" i="28"/>
  <c r="Y57" i="28"/>
  <c r="Y49" i="28"/>
  <c r="Y58" i="28"/>
  <c r="Y50" i="28"/>
  <c r="Y66" i="28"/>
  <c r="Y67" i="28"/>
  <c r="Y68" i="28"/>
  <c r="Y65" i="28"/>
  <c r="Y60" i="28"/>
  <c r="Y64" i="28"/>
  <c r="AE47" i="15"/>
  <c r="AE71" i="15"/>
  <c r="AE48" i="15"/>
  <c r="AE58" i="15"/>
  <c r="AE66" i="15"/>
  <c r="AE60" i="15"/>
  <c r="AE55" i="15"/>
  <c r="AE54" i="15"/>
  <c r="AE59" i="15"/>
  <c r="AE61" i="15"/>
  <c r="AE67" i="15"/>
  <c r="AE51" i="15"/>
  <c r="AE62" i="15"/>
  <c r="AE63" i="15"/>
  <c r="AE65" i="15"/>
  <c r="AE68" i="15"/>
  <c r="AE52" i="15"/>
  <c r="AE57" i="15"/>
  <c r="AE56" i="15"/>
  <c r="AE50" i="15"/>
  <c r="AE64" i="15"/>
  <c r="AE53" i="15"/>
  <c r="AE42" i="15"/>
  <c r="AE49" i="15"/>
  <c r="W38" i="15"/>
  <c r="B15" i="12"/>
  <c r="B65" i="12"/>
  <c r="AG60" i="15"/>
  <c r="AG67" i="15"/>
  <c r="AG66" i="15"/>
  <c r="AG64" i="15"/>
  <c r="AG63" i="15"/>
  <c r="AG68" i="15"/>
  <c r="AG49" i="15"/>
  <c r="AG54" i="15"/>
  <c r="AG48" i="15"/>
  <c r="AG50" i="15"/>
  <c r="AG59" i="15"/>
  <c r="AG42" i="15"/>
  <c r="AG52" i="15"/>
  <c r="AG58" i="15"/>
  <c r="AG53" i="15"/>
  <c r="AG56" i="15"/>
  <c r="AG55" i="15"/>
  <c r="AG47" i="15"/>
  <c r="AG51" i="15"/>
  <c r="AG57" i="15"/>
  <c r="AG65" i="15"/>
  <c r="AG61" i="15"/>
  <c r="AG62" i="15"/>
  <c r="A22" i="7"/>
  <c r="A71" i="7"/>
  <c r="M26" i="30"/>
  <c r="M24" i="30"/>
  <c r="M25" i="30"/>
  <c r="AA42" i="28"/>
  <c r="AA63" i="28"/>
  <c r="AA62" i="28"/>
  <c r="AA52" i="28"/>
  <c r="AA53" i="28"/>
  <c r="AA47" i="28"/>
  <c r="AA64" i="28"/>
  <c r="U31" i="28"/>
  <c r="AA54" i="28"/>
  <c r="AA55" i="28"/>
  <c r="AA56" i="28"/>
  <c r="AA57" i="28"/>
  <c r="AA49" i="28"/>
  <c r="AA48" i="28"/>
  <c r="AA58" i="28"/>
  <c r="AA50" i="28"/>
  <c r="U17" i="28"/>
  <c r="AA51" i="28"/>
  <c r="AA59" i="28"/>
  <c r="AA60" i="28"/>
  <c r="AA67" i="28"/>
  <c r="AA68" i="28"/>
  <c r="AA65" i="28"/>
  <c r="AA61" i="28"/>
  <c r="AA66" i="28"/>
  <c r="AC68" i="7"/>
  <c r="AC72" i="7"/>
  <c r="AC76" i="7"/>
  <c r="AC80" i="7"/>
  <c r="AC84" i="7"/>
  <c r="AC64" i="7"/>
  <c r="AC65" i="7"/>
  <c r="AC69" i="7"/>
  <c r="AC73" i="7"/>
  <c r="AC77" i="7"/>
  <c r="AC81" i="7"/>
  <c r="AC85" i="7"/>
  <c r="AC67" i="7"/>
  <c r="AC71" i="7"/>
  <c r="AC75" i="7"/>
  <c r="AC79" i="7"/>
  <c r="AC83" i="7"/>
  <c r="AC87" i="7"/>
  <c r="AC70" i="7"/>
  <c r="AC78" i="7"/>
  <c r="AC86" i="7"/>
  <c r="AC66" i="7"/>
  <c r="AC74" i="7"/>
  <c r="AC82" i="7"/>
  <c r="AE59" i="7"/>
  <c r="AE104" i="7"/>
  <c r="AE97" i="7"/>
  <c r="B16" i="12"/>
  <c r="AE55" i="29"/>
  <c r="AC42" i="29"/>
  <c r="AC44" i="29"/>
  <c r="AE53" i="29"/>
  <c r="AE56" i="29"/>
  <c r="AE51" i="29"/>
  <c r="AC40" i="29"/>
  <c r="AC48" i="29"/>
  <c r="AC43" i="29"/>
  <c r="AE35" i="29"/>
  <c r="AE54" i="29"/>
  <c r="AC45" i="29"/>
  <c r="AC41" i="29"/>
  <c r="AC46" i="29"/>
  <c r="AE52" i="29"/>
  <c r="AC47" i="29"/>
  <c r="AC58" i="29"/>
  <c r="Q14" i="30"/>
  <c r="O21" i="30"/>
  <c r="Y21" i="23"/>
  <c r="E9" i="32"/>
  <c r="AA14" i="23"/>
  <c r="AC63" i="28"/>
  <c r="AC53" i="28"/>
  <c r="AC54" i="28"/>
  <c r="AC48" i="28"/>
  <c r="AC42" i="28"/>
  <c r="AC55" i="28"/>
  <c r="AC56" i="28"/>
  <c r="U23" i="28"/>
  <c r="AC47" i="28"/>
  <c r="AC64" i="28"/>
  <c r="AC65" i="28"/>
  <c r="AC57" i="28"/>
  <c r="AC49" i="28"/>
  <c r="AC58" i="28"/>
  <c r="AC50" i="28"/>
  <c r="AC51" i="28"/>
  <c r="AC71" i="28"/>
  <c r="AC52" i="28"/>
  <c r="AC68" i="28"/>
  <c r="AC62" i="28"/>
  <c r="AC59" i="28"/>
  <c r="AC67" i="28"/>
  <c r="AC61" i="28"/>
  <c r="AC66" i="28"/>
  <c r="AC60" i="28"/>
  <c r="U27" i="28"/>
  <c r="A23" i="7"/>
  <c r="A72" i="7"/>
  <c r="E10" i="32"/>
  <c r="AC14" i="23"/>
  <c r="AA21" i="23"/>
  <c r="O26" i="30"/>
  <c r="O24" i="30"/>
  <c r="O25" i="30"/>
  <c r="AE64" i="7"/>
  <c r="AE67" i="7"/>
  <c r="AE71" i="7"/>
  <c r="AE75" i="7"/>
  <c r="AE79" i="7"/>
  <c r="AE83" i="7"/>
  <c r="AE87" i="7"/>
  <c r="AE68" i="7"/>
  <c r="AE72" i="7"/>
  <c r="AE76" i="7"/>
  <c r="AE80" i="7"/>
  <c r="AE84" i="7"/>
  <c r="AE65" i="7"/>
  <c r="AE66" i="7"/>
  <c r="AE69" i="7"/>
  <c r="AE70" i="7"/>
  <c r="AE73" i="7"/>
  <c r="AE74" i="7"/>
  <c r="AE77" i="7"/>
  <c r="AE78" i="7"/>
  <c r="AE81" i="7"/>
  <c r="AE82" i="7"/>
  <c r="AE85" i="7"/>
  <c r="AE86" i="7"/>
  <c r="AG59" i="7"/>
  <c r="AG99" i="7"/>
  <c r="AG92" i="7"/>
  <c r="AI47" i="15"/>
  <c r="AI49" i="15"/>
  <c r="AI64" i="15"/>
  <c r="AI65" i="15"/>
  <c r="AI61" i="15"/>
  <c r="AI66" i="15"/>
  <c r="AI42" i="15"/>
  <c r="AI56" i="15"/>
  <c r="AI52" i="15"/>
  <c r="AI67" i="15"/>
  <c r="AI60" i="15"/>
  <c r="AI57" i="15"/>
  <c r="AI53" i="15"/>
  <c r="AI51" i="15"/>
  <c r="AI55" i="15"/>
  <c r="AI58" i="15"/>
  <c r="AI48" i="15"/>
  <c r="AI63" i="15"/>
  <c r="AI68" i="15"/>
  <c r="AI50" i="15"/>
  <c r="AI62" i="15"/>
  <c r="AI59" i="15"/>
  <c r="AI54" i="15"/>
  <c r="AI71" i="15"/>
  <c r="Q21" i="30"/>
  <c r="S14" i="30"/>
  <c r="AG54" i="29"/>
  <c r="AG35" i="29"/>
  <c r="AE45" i="29"/>
  <c r="AE44" i="29"/>
  <c r="AE58" i="29"/>
  <c r="AE46" i="29"/>
  <c r="AG53" i="29"/>
  <c r="AE43" i="29"/>
  <c r="AE40" i="29"/>
  <c r="AE41" i="29"/>
  <c r="AE42" i="29"/>
  <c r="AG55" i="29"/>
  <c r="AE48" i="29"/>
  <c r="AG51" i="29"/>
  <c r="AG52" i="29"/>
  <c r="AG56" i="29"/>
  <c r="AE47" i="29"/>
  <c r="Q24" i="30"/>
  <c r="Q25" i="30"/>
  <c r="Q26" i="30"/>
  <c r="AK42" i="15"/>
  <c r="AK63" i="15"/>
  <c r="AK57" i="15"/>
  <c r="AK66" i="15"/>
  <c r="AK54" i="15"/>
  <c r="AK60" i="15"/>
  <c r="AK65" i="15"/>
  <c r="AK52" i="15"/>
  <c r="AK47" i="15"/>
  <c r="AK62" i="15"/>
  <c r="AK58" i="15"/>
  <c r="U25" i="15"/>
  <c r="AK64" i="15"/>
  <c r="AK48" i="15"/>
  <c r="AK67" i="15"/>
  <c r="AK49" i="15"/>
  <c r="AK53" i="15"/>
  <c r="AK50" i="15"/>
  <c r="AK56" i="15"/>
  <c r="AK61" i="15"/>
  <c r="AK51" i="15"/>
  <c r="AK55" i="15"/>
  <c r="AK68" i="15"/>
  <c r="AK59" i="15"/>
  <c r="A73" i="7"/>
  <c r="A24" i="7"/>
  <c r="S21" i="30"/>
  <c r="U14" i="30"/>
  <c r="AE65" i="28"/>
  <c r="AE66" i="28"/>
  <c r="AE64" i="28"/>
  <c r="AE54" i="28"/>
  <c r="AE55" i="28"/>
  <c r="AE56" i="28"/>
  <c r="AE57" i="28"/>
  <c r="AE49" i="28"/>
  <c r="AE48" i="28"/>
  <c r="AE42" i="28"/>
  <c r="AE50" i="28"/>
  <c r="AE51" i="28"/>
  <c r="AE52" i="28"/>
  <c r="AE53" i="28"/>
  <c r="AE47" i="28"/>
  <c r="AE59" i="28"/>
  <c r="AE61" i="28"/>
  <c r="AE62" i="28"/>
  <c r="AE63" i="28"/>
  <c r="AE67" i="28"/>
  <c r="AE60" i="28"/>
  <c r="AE58" i="28"/>
  <c r="AE68" i="28"/>
  <c r="AI51" i="29"/>
  <c r="AI56" i="29"/>
  <c r="AG46" i="29"/>
  <c r="AG43" i="29"/>
  <c r="AG44" i="29"/>
  <c r="AI54" i="29"/>
  <c r="AG40" i="29"/>
  <c r="AG41" i="29"/>
  <c r="AG48" i="29"/>
  <c r="AI55" i="29"/>
  <c r="AG45" i="29"/>
  <c r="AG58" i="29"/>
  <c r="AI53" i="29"/>
  <c r="AG42" i="29"/>
  <c r="AI52" i="29"/>
  <c r="AG47" i="29"/>
  <c r="AI35" i="29"/>
  <c r="AG66" i="7"/>
  <c r="AG70" i="7"/>
  <c r="AG74" i="7"/>
  <c r="AG78" i="7"/>
  <c r="AG82" i="7"/>
  <c r="AG86" i="7"/>
  <c r="AG67" i="7"/>
  <c r="AG71" i="7"/>
  <c r="AG75" i="7"/>
  <c r="AG79" i="7"/>
  <c r="AG83" i="7"/>
  <c r="AG87" i="7"/>
  <c r="AG64" i="7"/>
  <c r="AG65" i="7"/>
  <c r="AG68" i="7"/>
  <c r="AG69" i="7"/>
  <c r="AG72" i="7"/>
  <c r="AG73" i="7"/>
  <c r="AG76" i="7"/>
  <c r="AG77" i="7"/>
  <c r="AG80" i="7"/>
  <c r="AG81" i="7"/>
  <c r="AG84" i="7"/>
  <c r="AG85" i="7"/>
  <c r="AI59" i="7"/>
  <c r="AI98" i="7"/>
  <c r="AI93" i="7"/>
  <c r="AI101" i="7"/>
  <c r="AI97" i="7"/>
  <c r="AI99" i="7"/>
  <c r="AI103" i="7"/>
  <c r="E11" i="32"/>
  <c r="AC21" i="23"/>
  <c r="AE14" i="23"/>
  <c r="S26" i="30"/>
  <c r="S24" i="30"/>
  <c r="S25" i="30"/>
  <c r="AI65" i="7"/>
  <c r="AI69" i="7"/>
  <c r="AI73" i="7"/>
  <c r="AI77" i="7"/>
  <c r="AI81" i="7"/>
  <c r="AI85" i="7"/>
  <c r="AI66" i="7"/>
  <c r="AI70" i="7"/>
  <c r="AI74" i="7"/>
  <c r="AI78" i="7"/>
  <c r="AI82" i="7"/>
  <c r="AI86" i="7"/>
  <c r="AI67" i="7"/>
  <c r="AI71" i="7"/>
  <c r="AI75" i="7"/>
  <c r="AI79" i="7"/>
  <c r="AI83" i="7"/>
  <c r="AI87" i="7"/>
  <c r="AI64" i="7"/>
  <c r="AI72" i="7"/>
  <c r="AI80" i="7"/>
  <c r="AI68" i="7"/>
  <c r="AI76" i="7"/>
  <c r="AI84" i="7"/>
  <c r="AK59" i="7"/>
  <c r="AK95" i="7"/>
  <c r="AK104" i="7"/>
  <c r="AK93" i="7"/>
  <c r="AK90" i="7"/>
  <c r="AK92" i="7"/>
  <c r="AK98" i="7"/>
  <c r="A74" i="7"/>
  <c r="A25" i="7"/>
  <c r="AK54" i="29"/>
  <c r="AI41" i="29"/>
  <c r="AI45" i="29"/>
  <c r="AI43" i="29"/>
  <c r="AK56" i="29"/>
  <c r="AI47" i="29"/>
  <c r="AK35" i="29"/>
  <c r="AI44" i="29"/>
  <c r="AK55" i="29"/>
  <c r="AI40" i="29"/>
  <c r="AK53" i="29"/>
  <c r="AK51" i="29"/>
  <c r="AI42" i="29"/>
  <c r="U16" i="29"/>
  <c r="AK52" i="29"/>
  <c r="AI46" i="29"/>
  <c r="AI48" i="29"/>
  <c r="AG55" i="28"/>
  <c r="AG56" i="28"/>
  <c r="AG47" i="28"/>
  <c r="AG57" i="28"/>
  <c r="U24" i="28"/>
  <c r="AG49" i="28"/>
  <c r="AG58" i="28"/>
  <c r="U25" i="28"/>
  <c r="AG50" i="28"/>
  <c r="AG66" i="28"/>
  <c r="AG67" i="28"/>
  <c r="AG51" i="28"/>
  <c r="AG52" i="28"/>
  <c r="AG53" i="28"/>
  <c r="AG54" i="28"/>
  <c r="AG48" i="28"/>
  <c r="AG59" i="28"/>
  <c r="AG42" i="28"/>
  <c r="AG61" i="28"/>
  <c r="AG65" i="28"/>
  <c r="AG60" i="28"/>
  <c r="AG63" i="28"/>
  <c r="AG68" i="28"/>
  <c r="AG64" i="28"/>
  <c r="AG62" i="28"/>
  <c r="E12" i="32"/>
  <c r="AE21" i="23"/>
  <c r="AG14" i="23"/>
  <c r="W14" i="30"/>
  <c r="U21" i="30"/>
  <c r="Y14" i="30"/>
  <c r="W21" i="30"/>
  <c r="AI42" i="28"/>
  <c r="AI67" i="28"/>
  <c r="AI68" i="28"/>
  <c r="AI56" i="28"/>
  <c r="AI57" i="28"/>
  <c r="AI49" i="28"/>
  <c r="U16" i="28"/>
  <c r="AI48" i="28"/>
  <c r="AI50" i="28"/>
  <c r="AI51" i="28"/>
  <c r="AI58" i="28"/>
  <c r="AI52" i="28"/>
  <c r="AI53" i="28"/>
  <c r="AI47" i="28"/>
  <c r="AI71" i="28"/>
  <c r="AI59" i="28"/>
  <c r="AI54" i="28"/>
  <c r="AI55" i="28"/>
  <c r="AI60" i="28"/>
  <c r="AI61" i="28"/>
  <c r="AI63" i="28"/>
  <c r="AI64" i="28"/>
  <c r="AI65" i="28"/>
  <c r="AI62" i="28"/>
  <c r="AI66" i="28"/>
  <c r="G7" i="32"/>
  <c r="AI14" i="23"/>
  <c r="AG21" i="23"/>
  <c r="AK41" i="29"/>
  <c r="AK58" i="29"/>
  <c r="AK44" i="29"/>
  <c r="AK47" i="29"/>
  <c r="AK40" i="29"/>
  <c r="AK42" i="29"/>
  <c r="AK43" i="29"/>
  <c r="AK45" i="29"/>
  <c r="AK48" i="29"/>
  <c r="AK46" i="29"/>
  <c r="AK64" i="7"/>
  <c r="AK68" i="7"/>
  <c r="AK72" i="7"/>
  <c r="AK76" i="7"/>
  <c r="AK80" i="7"/>
  <c r="AK84" i="7"/>
  <c r="AK65" i="7"/>
  <c r="AK69" i="7"/>
  <c r="AK73" i="7"/>
  <c r="AK77" i="7"/>
  <c r="AK81" i="7"/>
  <c r="AK85" i="7"/>
  <c r="AK66" i="7"/>
  <c r="AK70" i="7"/>
  <c r="AK74" i="7"/>
  <c r="AK78" i="7"/>
  <c r="AK82" i="7"/>
  <c r="AK86" i="7"/>
  <c r="AK67" i="7"/>
  <c r="AK75" i="7"/>
  <c r="AK83" i="7"/>
  <c r="AK71" i="7"/>
  <c r="AK79" i="7"/>
  <c r="AK87" i="7"/>
  <c r="U26" i="30"/>
  <c r="U24" i="30"/>
  <c r="U25" i="30"/>
  <c r="A26" i="7"/>
  <c r="A75" i="7"/>
  <c r="G8" i="32"/>
  <c r="AK14" i="23"/>
  <c r="AI21" i="23"/>
  <c r="W26" i="30"/>
  <c r="W24" i="30"/>
  <c r="W25" i="30"/>
  <c r="AK57" i="28"/>
  <c r="AK49" i="28"/>
  <c r="AK58" i="28"/>
  <c r="AK50" i="28"/>
  <c r="AK42" i="28"/>
  <c r="AK60" i="28"/>
  <c r="AK51" i="28"/>
  <c r="AK52" i="28"/>
  <c r="AK68" i="28"/>
  <c r="AK59" i="28"/>
  <c r="U26" i="28"/>
  <c r="AK53" i="28"/>
  <c r="AK54" i="28"/>
  <c r="AK48" i="28"/>
  <c r="AK47" i="28"/>
  <c r="AK71" i="28"/>
  <c r="AK61" i="28"/>
  <c r="U28" i="28"/>
  <c r="AK63" i="28"/>
  <c r="AK55" i="28"/>
  <c r="U22" i="28"/>
  <c r="AK56" i="28"/>
  <c r="AK64" i="28"/>
  <c r="AK65" i="28"/>
  <c r="AK67" i="28"/>
  <c r="U34" i="28"/>
  <c r="AK62" i="28"/>
  <c r="AK66" i="28"/>
  <c r="Y21" i="30"/>
  <c r="AA14" i="30"/>
  <c r="A76" i="7"/>
  <c r="A27" i="7"/>
  <c r="I31" i="23"/>
  <c r="AK21" i="23"/>
  <c r="G9" i="32"/>
  <c r="AA21" i="30"/>
  <c r="AC14" i="30"/>
  <c r="A28" i="7"/>
  <c r="A77" i="7"/>
  <c r="Y26" i="30"/>
  <c r="Y24" i="30"/>
  <c r="Y25" i="30"/>
  <c r="G10" i="32"/>
  <c r="I38" i="23"/>
  <c r="K31" i="23"/>
  <c r="A78" i="7"/>
  <c r="A29" i="7"/>
  <c r="AC21" i="30"/>
  <c r="AE14" i="30"/>
  <c r="AA26" i="30"/>
  <c r="AA24" i="30"/>
  <c r="AA25" i="30"/>
  <c r="M31" i="23"/>
  <c r="K38" i="23"/>
  <c r="G11" i="32"/>
  <c r="AE21" i="30"/>
  <c r="AG14" i="30"/>
  <c r="A79" i="7"/>
  <c r="A30" i="7"/>
  <c r="AC24" i="30"/>
  <c r="AC25" i="30"/>
  <c r="AC26" i="30"/>
  <c r="AG21" i="30"/>
  <c r="AI14" i="30"/>
  <c r="O31" i="23"/>
  <c r="G12" i="32"/>
  <c r="M38" i="23"/>
  <c r="A31" i="7"/>
  <c r="A80" i="7"/>
  <c r="AE24" i="30"/>
  <c r="AE25" i="30"/>
  <c r="AE26" i="30"/>
  <c r="A32" i="7"/>
  <c r="A81" i="7"/>
  <c r="AK14" i="30"/>
  <c r="AI21" i="30"/>
  <c r="O38" i="23"/>
  <c r="I7" i="32"/>
  <c r="Q31" i="23"/>
  <c r="AG26" i="30"/>
  <c r="AG24" i="30"/>
  <c r="AG25" i="30"/>
  <c r="Q38" i="23"/>
  <c r="I8" i="32"/>
  <c r="S31" i="23"/>
  <c r="AI26" i="30"/>
  <c r="AI24" i="30"/>
  <c r="AI25" i="30"/>
  <c r="A82" i="7"/>
  <c r="A33" i="7"/>
  <c r="AK21" i="30"/>
  <c r="I31" i="30"/>
  <c r="AK24" i="30"/>
  <c r="AK25" i="30"/>
  <c r="AK26" i="30"/>
  <c r="A83" i="7"/>
  <c r="A34" i="7"/>
  <c r="S38" i="23"/>
  <c r="I9" i="32"/>
  <c r="U31" i="23"/>
  <c r="K31" i="30"/>
  <c r="I38" i="30"/>
  <c r="I43" i="30"/>
  <c r="I41" i="30"/>
  <c r="I42" i="30"/>
  <c r="A84" i="7"/>
  <c r="A35" i="7"/>
  <c r="U38" i="23"/>
  <c r="I10" i="32"/>
  <c r="W31" i="23"/>
  <c r="K38" i="30"/>
  <c r="M31" i="30"/>
  <c r="M38" i="30"/>
  <c r="O31" i="30"/>
  <c r="K43" i="30"/>
  <c r="K41" i="30"/>
  <c r="K42" i="30"/>
  <c r="W38" i="23"/>
  <c r="I11" i="32"/>
  <c r="Y31" i="23"/>
  <c r="A36" i="7"/>
  <c r="A85" i="7"/>
  <c r="A37" i="7"/>
  <c r="A86" i="7"/>
  <c r="AA31" i="23"/>
  <c r="Y38" i="23"/>
  <c r="I12" i="32"/>
  <c r="Q31" i="30"/>
  <c r="O38" i="30"/>
  <c r="M41" i="30"/>
  <c r="M42" i="30"/>
  <c r="M43" i="30"/>
  <c r="S31" i="30"/>
  <c r="Q38" i="30"/>
  <c r="O43" i="30"/>
  <c r="O41" i="30"/>
  <c r="O42" i="30"/>
  <c r="K7" i="32"/>
  <c r="AC31" i="23"/>
  <c r="AA38" i="23"/>
  <c r="A87" i="7"/>
  <c r="A40" i="7"/>
  <c r="A90" i="7"/>
  <c r="A41" i="7"/>
  <c r="U31" i="30"/>
  <c r="S38" i="30"/>
  <c r="Q43" i="30"/>
  <c r="Q41" i="30"/>
  <c r="Q42" i="30"/>
  <c r="K8" i="32"/>
  <c r="AE31" i="23"/>
  <c r="AC38" i="23"/>
  <c r="K9" i="32"/>
  <c r="AG31" i="23"/>
  <c r="AE38" i="23"/>
  <c r="U38" i="30"/>
  <c r="W31" i="30"/>
  <c r="S43" i="30"/>
  <c r="S41" i="30"/>
  <c r="S42" i="30"/>
  <c r="A42" i="7"/>
  <c r="A91" i="7"/>
  <c r="A92" i="7"/>
  <c r="A43" i="7"/>
  <c r="AI31" i="23"/>
  <c r="K10" i="32"/>
  <c r="AG38" i="23"/>
  <c r="Y31" i="30"/>
  <c r="W38" i="30"/>
  <c r="U41" i="30"/>
  <c r="U42" i="30"/>
  <c r="U43" i="30"/>
  <c r="A93" i="7"/>
  <c r="A44" i="7"/>
  <c r="AA31" i="30"/>
  <c r="Y38" i="30"/>
  <c r="W43" i="30"/>
  <c r="W41" i="30"/>
  <c r="W42" i="30"/>
  <c r="AI38" i="23"/>
  <c r="K11" i="32"/>
  <c r="AK31" i="23"/>
  <c r="Y42" i="30"/>
  <c r="A45" i="7"/>
  <c r="A94" i="7"/>
  <c r="K12" i="32"/>
  <c r="AK38" i="23"/>
  <c r="Y43" i="30"/>
  <c r="Y41" i="30"/>
  <c r="AC31" i="30"/>
  <c r="AA38" i="30"/>
  <c r="AC38" i="30"/>
  <c r="AE31" i="30"/>
  <c r="AA42" i="30"/>
  <c r="AA41" i="30"/>
  <c r="AA43" i="30"/>
  <c r="A95" i="7"/>
  <c r="A46" i="7"/>
  <c r="A47" i="7"/>
  <c r="A96" i="7"/>
  <c r="AE38" i="30"/>
  <c r="AG31" i="30"/>
  <c r="AC41" i="30"/>
  <c r="AC43" i="30"/>
  <c r="AC42" i="30"/>
  <c r="AE43" i="30"/>
  <c r="AE41" i="30"/>
  <c r="AE42" i="30"/>
  <c r="A48" i="7"/>
  <c r="A97" i="7"/>
  <c r="AI31" i="30"/>
  <c r="AG38" i="30"/>
  <c r="AG43" i="30"/>
  <c r="AG41" i="30"/>
  <c r="AG42" i="30"/>
  <c r="A49" i="7"/>
  <c r="A98" i="7"/>
  <c r="AI38" i="30"/>
  <c r="AK31" i="30"/>
  <c r="AK38" i="30"/>
  <c r="A50" i="7"/>
  <c r="A99" i="7"/>
  <c r="AI43" i="30"/>
  <c r="AI41" i="30"/>
  <c r="AI42" i="30"/>
  <c r="A51" i="7"/>
  <c r="A100" i="7"/>
  <c r="AK43" i="30"/>
  <c r="AK41" i="30"/>
  <c r="AK42" i="30"/>
  <c r="A52" i="7"/>
  <c r="A101" i="7"/>
  <c r="A53" i="7"/>
  <c r="A102" i="7"/>
  <c r="A54" i="7"/>
  <c r="A104" i="7"/>
  <c r="A103" i="7"/>
  <c r="U25" i="29"/>
  <c r="AE71" i="28"/>
  <c r="W71" i="28"/>
  <c r="AG71" i="28"/>
  <c r="U18" i="29"/>
  <c r="AG71" i="15"/>
  <c r="AA58" i="29"/>
  <c r="B17" i="12"/>
  <c r="B66" i="12"/>
  <c r="AA71" i="28"/>
  <c r="Y71" i="28"/>
  <c r="K71" i="15"/>
  <c r="AQ32" i="29"/>
  <c r="AK32" i="29"/>
  <c r="AE32" i="29"/>
  <c r="AM32" i="29"/>
  <c r="AG32" i="29"/>
  <c r="U19" i="29"/>
  <c r="U20" i="29"/>
  <c r="U14" i="28"/>
  <c r="Z56" i="12"/>
  <c r="AW38" i="28"/>
  <c r="O71" i="28"/>
  <c r="Q71" i="28"/>
  <c r="S71" i="28"/>
  <c r="U71" i="28"/>
  <c r="AE38" i="28"/>
  <c r="AQ38" i="28"/>
  <c r="I58" i="29"/>
  <c r="AK38" i="28"/>
  <c r="AC62" i="15"/>
  <c r="U29" i="15"/>
  <c r="O47" i="15"/>
  <c r="AC48" i="15"/>
  <c r="AC71" i="15"/>
  <c r="Y50" i="15"/>
  <c r="AA53" i="15"/>
  <c r="U47" i="15"/>
  <c r="Y49" i="15"/>
  <c r="Y71" i="15"/>
  <c r="U51" i="15"/>
  <c r="W54" i="15"/>
  <c r="Y48" i="15"/>
  <c r="W53" i="15"/>
  <c r="Q56" i="15"/>
  <c r="U49" i="15"/>
  <c r="U71" i="15"/>
  <c r="S54" i="15"/>
  <c r="Q57" i="15"/>
  <c r="M59" i="15"/>
  <c r="Y61" i="15"/>
  <c r="U63" i="15"/>
  <c r="Y65" i="15"/>
  <c r="W47" i="15"/>
  <c r="S49" i="15"/>
  <c r="O51" i="15"/>
  <c r="Q54" i="15"/>
  <c r="S48" i="15"/>
  <c r="O50" i="15"/>
  <c r="Q53" i="15"/>
  <c r="Q71" i="15"/>
  <c r="M55" i="15"/>
  <c r="U22" i="15"/>
  <c r="O49" i="15"/>
  <c r="O71" i="15"/>
  <c r="M54" i="15"/>
  <c r="Y56" i="15"/>
  <c r="AA50" i="15"/>
  <c r="AA71" i="15"/>
  <c r="U20" i="15"/>
  <c r="AB56" i="12"/>
  <c r="B18" i="12"/>
  <c r="B67" i="12"/>
  <c r="S71" i="15"/>
  <c r="W71" i="15"/>
  <c r="B19" i="12"/>
  <c r="B68" i="12"/>
  <c r="AD56" i="12"/>
  <c r="B69" i="12"/>
  <c r="B20" i="12"/>
  <c r="AF56" i="12"/>
  <c r="AH56" i="12"/>
  <c r="B70" i="12"/>
  <c r="B21" i="12"/>
  <c r="AJ56" i="12"/>
  <c r="B22" i="12"/>
  <c r="B71" i="12"/>
  <c r="B23" i="12"/>
  <c r="B72" i="12"/>
  <c r="AL56" i="12"/>
  <c r="B24" i="12"/>
  <c r="B73" i="12"/>
  <c r="B74" i="12"/>
  <c r="B25" i="12"/>
  <c r="B75" i="12"/>
  <c r="B26" i="12"/>
  <c r="B76" i="12"/>
  <c r="B27" i="12"/>
  <c r="B77" i="12"/>
  <c r="B28" i="12"/>
  <c r="B78" i="12"/>
  <c r="B29" i="12"/>
  <c r="B79" i="12"/>
  <c r="B30" i="12"/>
  <c r="B80" i="12"/>
  <c r="B31" i="12"/>
  <c r="B32" i="12"/>
  <c r="B81" i="12"/>
  <c r="B33" i="12"/>
  <c r="B82" i="12"/>
  <c r="B34" i="12"/>
  <c r="B83" i="12"/>
  <c r="B35" i="12"/>
  <c r="B84" i="12"/>
  <c r="B85" i="12"/>
  <c r="B36" i="12"/>
  <c r="B86" i="12"/>
  <c r="B37" i="12"/>
  <c r="B87" i="12"/>
  <c r="B38" i="12"/>
  <c r="B39" i="12"/>
  <c r="B88" i="12"/>
  <c r="B40" i="12"/>
  <c r="B89" i="12"/>
  <c r="B90" i="12"/>
  <c r="B41" i="12"/>
  <c r="B91" i="12"/>
  <c r="B42" i="12"/>
  <c r="B92" i="12"/>
  <c r="B43" i="12"/>
  <c r="B44" i="12"/>
  <c r="B93" i="12"/>
  <c r="B45" i="12"/>
  <c r="B94" i="12"/>
  <c r="B95" i="12"/>
  <c r="B46" i="12"/>
  <c r="B47" i="12"/>
  <c r="B96" i="12"/>
  <c r="B97" i="12"/>
  <c r="B48" i="12"/>
  <c r="B98" i="12"/>
  <c r="B49" i="12"/>
  <c r="B50" i="12"/>
  <c r="B99" i="12"/>
  <c r="A14" i="28"/>
  <c r="A14" i="15"/>
  <c r="B100" i="12"/>
  <c r="A47" i="15"/>
  <c r="A15" i="15"/>
  <c r="A47" i="28"/>
  <c r="A15" i="28"/>
  <c r="A16" i="15"/>
  <c r="A48" i="15"/>
  <c r="A16" i="28"/>
  <c r="A48" i="28"/>
  <c r="A49" i="28"/>
  <c r="A17" i="28"/>
  <c r="A17" i="15"/>
  <c r="A49" i="15"/>
  <c r="A18" i="15"/>
  <c r="A50" i="15"/>
  <c r="A50" i="28"/>
  <c r="A18" i="28"/>
  <c r="A51" i="28"/>
  <c r="A19" i="28"/>
  <c r="A19" i="15"/>
  <c r="A51" i="15"/>
  <c r="A20" i="15"/>
  <c r="A52" i="15"/>
  <c r="A52" i="28"/>
  <c r="A20" i="28"/>
  <c r="A21" i="28"/>
  <c r="A53" i="28"/>
  <c r="A21" i="15"/>
  <c r="A53" i="15"/>
  <c r="A22" i="15"/>
  <c r="A54" i="15"/>
  <c r="A22" i="28"/>
  <c r="A54" i="28"/>
  <c r="A23" i="28"/>
  <c r="A55" i="28"/>
  <c r="A23" i="15"/>
  <c r="A55" i="15"/>
  <c r="A24" i="15"/>
  <c r="A56" i="15"/>
  <c r="A56" i="28"/>
  <c r="A24" i="28"/>
  <c r="A57" i="28"/>
  <c r="A25" i="28"/>
  <c r="A25" i="15"/>
  <c r="A57" i="15"/>
  <c r="A58" i="15"/>
  <c r="A26" i="15"/>
  <c r="A26" i="28"/>
  <c r="A58" i="28"/>
  <c r="A59" i="28"/>
  <c r="A27" i="28"/>
  <c r="A27" i="15"/>
  <c r="A59" i="15"/>
  <c r="A60" i="15"/>
  <c r="A28" i="15"/>
  <c r="A28" i="28"/>
  <c r="A60" i="28"/>
  <c r="A61" i="28"/>
  <c r="A29" i="28"/>
  <c r="A29" i="15"/>
  <c r="A61" i="15"/>
  <c r="A62" i="15"/>
  <c r="A30" i="15"/>
  <c r="A62" i="28"/>
  <c r="A30" i="28"/>
  <c r="A31" i="28"/>
  <c r="A63" i="28"/>
  <c r="A31" i="15"/>
  <c r="A63" i="15"/>
  <c r="A64" i="15"/>
  <c r="A32" i="15"/>
  <c r="A64" i="28"/>
  <c r="A32" i="28"/>
  <c r="A65" i="28"/>
  <c r="A33" i="28"/>
  <c r="A33" i="15"/>
  <c r="A65" i="15"/>
  <c r="A66" i="15"/>
  <c r="A34" i="15"/>
  <c r="A66" i="28"/>
  <c r="A34" i="28"/>
  <c r="A35" i="28"/>
  <c r="A68" i="28"/>
  <c r="A67" i="28"/>
  <c r="A35" i="15"/>
  <c r="A67" i="15"/>
  <c r="A68" i="15"/>
  <c r="A14" i="29"/>
  <c r="A40" i="29"/>
  <c r="A15" i="29"/>
  <c r="A16" i="29"/>
  <c r="A41" i="29"/>
  <c r="A42" i="29"/>
  <c r="A17" i="29"/>
  <c r="A43" i="29"/>
  <c r="A18" i="29"/>
  <c r="A19" i="29"/>
  <c r="A44" i="29"/>
  <c r="A20" i="29"/>
  <c r="A45" i="29"/>
  <c r="A21" i="29"/>
  <c r="A46" i="29"/>
  <c r="A47" i="29"/>
  <c r="A22" i="29"/>
  <c r="A48" i="29"/>
  <c r="A25" i="29"/>
  <c r="A51" i="29"/>
  <c r="A26" i="29"/>
  <c r="A52" i="29"/>
  <c r="A27" i="29"/>
  <c r="A28" i="29"/>
  <c r="A53" i="29"/>
  <c r="A29" i="29"/>
  <c r="A54" i="29"/>
  <c r="A30" i="29"/>
  <c r="A56" i="29"/>
  <c r="A55" i="29"/>
  <c r="U27" i="29"/>
  <c r="U15" i="15"/>
  <c r="U21" i="28"/>
  <c r="W58" i="29"/>
  <c r="O58" i="29"/>
  <c r="AO38" i="15"/>
  <c r="U33" i="15"/>
  <c r="AQ38" i="15"/>
  <c r="Y38" i="15"/>
  <c r="AS38" i="15"/>
  <c r="AK38" i="15"/>
  <c r="AI38" i="15"/>
  <c r="I71" i="15"/>
  <c r="AS38" i="28"/>
  <c r="AI32" i="29"/>
  <c r="U21" i="29"/>
  <c r="U16" i="15"/>
  <c r="M71" i="15"/>
  <c r="M71" i="28"/>
  <c r="U18" i="28"/>
  <c r="AI58" i="29"/>
  <c r="U27" i="15"/>
  <c r="U29" i="29"/>
  <c r="AO32" i="29"/>
  <c r="AG38" i="15"/>
  <c r="AK71" i="15"/>
  <c r="AE107" i="7"/>
  <c r="U35" i="15"/>
  <c r="U15" i="29"/>
  <c r="U30" i="29"/>
  <c r="K71" i="28"/>
  <c r="AS41" i="7"/>
  <c r="AM40" i="7"/>
  <c r="AW42" i="7"/>
  <c r="AE41" i="7"/>
  <c r="AC40" i="7"/>
  <c r="AA40" i="7"/>
  <c r="AA56" i="7"/>
  <c r="AY54" i="7"/>
  <c r="AU52" i="7"/>
  <c r="AI50" i="7"/>
  <c r="AE48" i="7"/>
  <c r="AW45" i="7"/>
  <c r="AK43" i="7"/>
  <c r="AG54" i="7"/>
  <c r="AY51" i="7"/>
  <c r="AU49" i="7"/>
  <c r="AI47" i="7"/>
  <c r="AE45" i="7"/>
  <c r="W21" i="7"/>
  <c r="U21" i="7"/>
  <c r="AS53" i="7"/>
  <c r="AO51" i="7"/>
  <c r="AC49" i="7"/>
  <c r="AG47" i="7"/>
  <c r="AY44" i="7"/>
  <c r="W22" i="7"/>
  <c r="U22" i="7"/>
  <c r="AY53" i="7"/>
  <c r="AU51" i="7"/>
  <c r="AI49" i="7"/>
  <c r="AE47" i="7"/>
  <c r="AA45" i="7"/>
  <c r="O90" i="7"/>
  <c r="O107" i="7"/>
  <c r="I104" i="7"/>
  <c r="W104" i="7"/>
  <c r="U100" i="7"/>
  <c r="AA96" i="7"/>
  <c r="AA92" i="7"/>
  <c r="K97" i="7"/>
  <c r="Y101" i="7"/>
  <c r="W97" i="7"/>
  <c r="W93" i="7"/>
  <c r="I98" i="7"/>
  <c r="U103" i="7"/>
  <c r="Y99" i="7"/>
  <c r="Y95" i="7"/>
  <c r="W91" i="7"/>
  <c r="K99" i="7"/>
  <c r="M101" i="7"/>
  <c r="Q98" i="7"/>
  <c r="Y94" i="7"/>
  <c r="AC92" i="7"/>
  <c r="AC102" i="7"/>
  <c r="AE94" i="7"/>
  <c r="AE102" i="7"/>
  <c r="AG104" i="7"/>
  <c r="AG100" i="7"/>
  <c r="AU40" i="7"/>
  <c r="AU56" i="7"/>
  <c r="AK40" i="7"/>
  <c r="W19" i="7"/>
  <c r="U19" i="7"/>
  <c r="AQ41" i="7"/>
  <c r="AI42" i="7"/>
  <c r="W15" i="7"/>
  <c r="U15" i="7"/>
  <c r="AY41" i="7"/>
  <c r="AQ54" i="7"/>
  <c r="AM52" i="7"/>
  <c r="AA50" i="7"/>
  <c r="AS47" i="7"/>
  <c r="AO45" i="7"/>
  <c r="W20" i="7"/>
  <c r="U20" i="7"/>
  <c r="Y54" i="7"/>
  <c r="AQ51" i="7"/>
  <c r="AM49" i="7"/>
  <c r="AA47" i="7"/>
  <c r="AS44" i="7"/>
  <c r="W36" i="7"/>
  <c r="U36" i="7"/>
  <c r="AK53" i="7"/>
  <c r="AG51" i="7"/>
  <c r="AY48" i="7"/>
  <c r="Y47" i="7"/>
  <c r="AQ44" i="7"/>
  <c r="W37" i="7"/>
  <c r="U37" i="7"/>
  <c r="AQ53" i="7"/>
  <c r="AM51" i="7"/>
  <c r="AA49" i="7"/>
  <c r="AS46" i="7"/>
  <c r="AW44" i="7"/>
  <c r="Y40" i="7"/>
  <c r="I100" i="7"/>
  <c r="O104" i="7"/>
  <c r="M100" i="7"/>
  <c r="S96" i="7"/>
  <c r="S92" i="7"/>
  <c r="K101" i="7"/>
  <c r="Q101" i="7"/>
  <c r="O97" i="7"/>
  <c r="O93" i="7"/>
  <c r="I93" i="7"/>
  <c r="M103" i="7"/>
  <c r="Q99" i="7"/>
  <c r="Q95" i="7"/>
  <c r="O91" i="7"/>
  <c r="K103" i="7"/>
  <c r="W100" i="7"/>
  <c r="AA97" i="7"/>
  <c r="Q94" i="7"/>
  <c r="AC100" i="7"/>
  <c r="AE103" i="7"/>
  <c r="AE92" i="7"/>
  <c r="AG94" i="7"/>
  <c r="AG95" i="7"/>
  <c r="AI90" i="7"/>
  <c r="AI107" i="7"/>
  <c r="AK99" i="7"/>
  <c r="AG41" i="7"/>
  <c r="AQ42" i="7"/>
  <c r="W17" i="7"/>
  <c r="U17" i="7"/>
  <c r="AG40" i="7"/>
  <c r="W14" i="7"/>
  <c r="AA42" i="7"/>
  <c r="AQ40" i="7"/>
  <c r="AQ56" i="7"/>
  <c r="AI54" i="7"/>
  <c r="AE52" i="7"/>
  <c r="AW49" i="7"/>
  <c r="AK47" i="7"/>
  <c r="AG45" i="7"/>
  <c r="W35" i="7"/>
  <c r="U35" i="7"/>
  <c r="AU53" i="7"/>
  <c r="AI51" i="7"/>
  <c r="AI56" i="7"/>
  <c r="AE49" i="7"/>
  <c r="AW46" i="7"/>
  <c r="AK44" i="7"/>
  <c r="W32" i="7"/>
  <c r="U32" i="7"/>
  <c r="AC53" i="7"/>
  <c r="Y51" i="7"/>
  <c r="AQ48" i="7"/>
  <c r="AU46" i="7"/>
  <c r="AI44" i="7"/>
  <c r="W33" i="7"/>
  <c r="U33" i="7"/>
  <c r="AI53" i="7"/>
  <c r="AE51" i="7"/>
  <c r="AW48" i="7"/>
  <c r="AK46" i="7"/>
  <c r="AO44" i="7"/>
  <c r="U90" i="7"/>
  <c r="U107" i="7"/>
  <c r="I96" i="7"/>
  <c r="Y103" i="7"/>
  <c r="U99" i="7"/>
  <c r="U95" i="7"/>
  <c r="AA91" i="7"/>
  <c r="U104" i="7"/>
  <c r="AA100" i="7"/>
  <c r="Y96" i="7"/>
  <c r="Y92" i="7"/>
  <c r="AA43" i="7"/>
  <c r="W102" i="7"/>
  <c r="AA98" i="7"/>
  <c r="AA94" i="7"/>
  <c r="K95" i="7"/>
  <c r="Y104" i="7"/>
  <c r="S97" i="7"/>
  <c r="AA93" i="7"/>
  <c r="S102" i="7"/>
  <c r="AC99" i="7"/>
  <c r="AC95" i="7"/>
  <c r="AE93" i="7"/>
  <c r="AE100" i="7"/>
  <c r="AG90" i="7"/>
  <c r="AG101" i="7"/>
  <c r="AI104" i="7"/>
  <c r="AI96" i="7"/>
  <c r="AK94" i="7"/>
  <c r="AK91" i="7"/>
  <c r="AK107" i="7"/>
  <c r="AM42" i="7"/>
  <c r="AK41" i="7"/>
  <c r="AW41" i="7"/>
  <c r="AM41" i="7"/>
  <c r="AM56" i="7"/>
  <c r="W16" i="7"/>
  <c r="U16" i="7"/>
  <c r="AE42" i="7"/>
  <c r="AA54" i="7"/>
  <c r="AS51" i="7"/>
  <c r="AO49" i="7"/>
  <c r="AC47" i="7"/>
  <c r="Y45" i="7"/>
  <c r="W31" i="7"/>
  <c r="U31" i="7"/>
  <c r="AM53" i="7"/>
  <c r="AA51" i="7"/>
  <c r="AS48" i="7"/>
  <c r="AO46" i="7"/>
  <c r="AC44" i="7"/>
  <c r="W28" i="7"/>
  <c r="U28" i="7"/>
  <c r="AY52" i="7"/>
  <c r="AU50" i="7"/>
  <c r="AI48" i="7"/>
  <c r="AM46" i="7"/>
  <c r="AA44" i="7"/>
  <c r="W29" i="7"/>
  <c r="U29" i="7"/>
  <c r="AA53" i="7"/>
  <c r="AS50" i="7"/>
  <c r="AO48" i="7"/>
  <c r="AC46" i="7"/>
  <c r="AG44" i="7"/>
  <c r="Y90" i="7"/>
  <c r="Y107" i="7"/>
  <c r="AA90" i="7"/>
  <c r="I91" i="7"/>
  <c r="Q103" i="7"/>
  <c r="M99" i="7"/>
  <c r="M95" i="7"/>
  <c r="S91" i="7"/>
  <c r="M104" i="7"/>
  <c r="S100" i="7"/>
  <c r="Q96" i="7"/>
  <c r="Q92" i="7"/>
  <c r="K93" i="7"/>
  <c r="M102" i="7"/>
  <c r="S98" i="7"/>
  <c r="S94" i="7"/>
  <c r="I101" i="7"/>
  <c r="Q104" i="7"/>
  <c r="O100" i="7"/>
  <c r="U96" i="7"/>
  <c r="S93" i="7"/>
  <c r="AE43" i="7"/>
  <c r="AC98" i="7"/>
  <c r="AC104" i="7"/>
  <c r="AE99" i="7"/>
  <c r="AE95" i="7"/>
  <c r="AG97" i="7"/>
  <c r="AG103" i="7"/>
  <c r="AI94" i="7"/>
  <c r="AI91" i="7"/>
  <c r="AK101" i="7"/>
  <c r="Y41" i="7"/>
  <c r="U41" i="7"/>
  <c r="AU41" i="7"/>
  <c r="AO40" i="7"/>
  <c r="AO42" i="7"/>
  <c r="AS40" i="7"/>
  <c r="AY40" i="7"/>
  <c r="AY56" i="7"/>
  <c r="AW53" i="7"/>
  <c r="AK51" i="7"/>
  <c r="AG49" i="7"/>
  <c r="AY46" i="7"/>
  <c r="AU44" i="7"/>
  <c r="W27" i="7"/>
  <c r="U27" i="7"/>
  <c r="AE53" i="7"/>
  <c r="AW50" i="7"/>
  <c r="AK48" i="7"/>
  <c r="AG46" i="7"/>
  <c r="AY43" i="7"/>
  <c r="W24" i="7"/>
  <c r="U24" i="7"/>
  <c r="AQ52" i="7"/>
  <c r="AM50" i="7"/>
  <c r="AE46" i="7"/>
  <c r="AW43" i="7"/>
  <c r="W25" i="7"/>
  <c r="U25" i="7"/>
  <c r="AW52" i="7"/>
  <c r="AK50" i="7"/>
  <c r="U50" i="7"/>
  <c r="AG48" i="7"/>
  <c r="AY45" i="7"/>
  <c r="Y44" i="7"/>
  <c r="Q90" i="7"/>
  <c r="Q107" i="7"/>
  <c r="S90" i="7"/>
  <c r="K91" i="7"/>
  <c r="AA102" i="7"/>
  <c r="W98" i="7"/>
  <c r="W94" i="7"/>
  <c r="I103" i="7"/>
  <c r="W103" i="7"/>
  <c r="AA99" i="7"/>
  <c r="AA95" i="7"/>
  <c r="Y91" i="7"/>
  <c r="K98" i="7"/>
  <c r="W101" i="7"/>
  <c r="U97" i="7"/>
  <c r="U93" i="7"/>
  <c r="I97" i="7"/>
  <c r="AA103" i="7"/>
  <c r="W99" i="7"/>
  <c r="M96" i="7"/>
  <c r="U92" i="7"/>
  <c r="K90" i="7"/>
  <c r="K107" i="7"/>
  <c r="AC103" i="7"/>
  <c r="AC94" i="7"/>
  <c r="AE101" i="7"/>
  <c r="AE91" i="7"/>
  <c r="AG96" i="7"/>
  <c r="AG102" i="7"/>
  <c r="AI102" i="7"/>
  <c r="AI100" i="7"/>
  <c r="AK97" i="7"/>
  <c r="AK96" i="7"/>
  <c r="AA41" i="7"/>
  <c r="AY42" i="7"/>
  <c r="AE40" i="7"/>
  <c r="AE56" i="7"/>
  <c r="AI41" i="7"/>
  <c r="AK42" i="7"/>
  <c r="W34" i="7"/>
  <c r="U34" i="7"/>
  <c r="AO53" i="7"/>
  <c r="AC51" i="7"/>
  <c r="Y49" i="7"/>
  <c r="AQ46" i="7"/>
  <c r="AM44" i="7"/>
  <c r="W23" i="7"/>
  <c r="U23" i="7"/>
  <c r="AS52" i="7"/>
  <c r="AO50" i="7"/>
  <c r="AC48" i="7"/>
  <c r="Y46" i="7"/>
  <c r="AQ43" i="7"/>
  <c r="AU54" i="7"/>
  <c r="AI52" i="7"/>
  <c r="AE50" i="7"/>
  <c r="AA48" i="7"/>
  <c r="AS45" i="7"/>
  <c r="AO43" i="7"/>
  <c r="AS54" i="7"/>
  <c r="AO52" i="7"/>
  <c r="AC50" i="7"/>
  <c r="Y48" i="7"/>
  <c r="AQ45" i="7"/>
  <c r="AU43" i="7"/>
  <c r="M90" i="7"/>
  <c r="M107" i="7"/>
  <c r="K96" i="7"/>
  <c r="Q102" i="7"/>
  <c r="O98" i="7"/>
  <c r="O94" i="7"/>
  <c r="I99" i="7"/>
  <c r="O103" i="7"/>
  <c r="S99" i="7"/>
  <c r="S95" i="7"/>
  <c r="Q91" i="7"/>
  <c r="K102" i="7"/>
  <c r="O101" i="7"/>
  <c r="M97" i="7"/>
  <c r="M93" i="7"/>
  <c r="I92" i="7"/>
  <c r="S103" i="7"/>
  <c r="O99" i="7"/>
  <c r="W95" i="7"/>
  <c r="M92" i="7"/>
  <c r="AC93" i="7"/>
  <c r="AC101" i="7"/>
  <c r="AE96" i="7"/>
  <c r="AE98" i="7"/>
  <c r="AG91" i="7"/>
  <c r="AG98" i="7"/>
  <c r="AI92" i="7"/>
  <c r="AI95" i="7"/>
  <c r="AK100" i="7"/>
  <c r="AK103" i="7"/>
  <c r="AK102" i="7"/>
  <c r="AG42" i="7"/>
  <c r="AI40" i="7"/>
  <c r="W18" i="7"/>
  <c r="U18" i="7"/>
  <c r="AU42" i="7"/>
  <c r="AC41" i="7"/>
  <c r="W30" i="7"/>
  <c r="U30" i="7"/>
  <c r="AG53" i="7"/>
  <c r="AY50" i="7"/>
  <c r="AU48" i="7"/>
  <c r="AI46" i="7"/>
  <c r="AE44" i="7"/>
  <c r="AW54" i="7"/>
  <c r="AK52" i="7"/>
  <c r="AG50" i="7"/>
  <c r="AY47" i="7"/>
  <c r="AU45" i="7"/>
  <c r="AI43" i="7"/>
  <c r="AM54" i="7"/>
  <c r="AA52" i="7"/>
  <c r="U52" i="7"/>
  <c r="AS49" i="7"/>
  <c r="AW47" i="7"/>
  <c r="AK45" i="7"/>
  <c r="AG43" i="7"/>
  <c r="AK54" i="7"/>
  <c r="AG52" i="7"/>
  <c r="AY49" i="7"/>
  <c r="AU47" i="7"/>
  <c r="AM43" i="7"/>
  <c r="I90" i="7"/>
  <c r="I107" i="7"/>
  <c r="K100" i="7"/>
  <c r="AA101" i="7"/>
  <c r="Y97" i="7"/>
  <c r="Y93" i="7"/>
  <c r="I95" i="7"/>
  <c r="Y102" i="7"/>
  <c r="U98" i="7"/>
  <c r="U94" i="7"/>
  <c r="I94" i="7"/>
  <c r="AA104" i="7"/>
  <c r="Y100" i="7"/>
  <c r="W96" i="7"/>
  <c r="W92" i="7"/>
  <c r="AC43" i="7"/>
  <c r="U102" i="7"/>
  <c r="Y98" i="7"/>
  <c r="O95" i="7"/>
  <c r="U91" i="7"/>
  <c r="AC91" i="7"/>
  <c r="AC107" i="7"/>
  <c r="AC96" i="7"/>
  <c r="AE90" i="7"/>
  <c r="AG93" i="7"/>
  <c r="AA32" i="29"/>
  <c r="U26" i="7"/>
  <c r="U30" i="28"/>
  <c r="U35" i="28"/>
  <c r="AC32" i="29"/>
  <c r="U14" i="15"/>
  <c r="U19" i="28"/>
  <c r="U14" i="29"/>
  <c r="U32" i="29"/>
  <c r="B11" i="5"/>
  <c r="U15" i="28"/>
  <c r="U38" i="28"/>
  <c r="B9" i="5"/>
  <c r="Y32" i="29"/>
  <c r="AU32" i="29"/>
  <c r="N11" i="12"/>
  <c r="AZ11" i="12"/>
  <c r="O12" i="12"/>
  <c r="U45" i="7"/>
  <c r="AW56" i="7"/>
  <c r="AG107" i="7"/>
  <c r="U42" i="7"/>
  <c r="U54" i="7"/>
  <c r="W107" i="7"/>
  <c r="U51" i="7"/>
  <c r="U14" i="7"/>
  <c r="U56" i="7"/>
  <c r="B10" i="5"/>
  <c r="W56" i="7"/>
  <c r="U47" i="7"/>
  <c r="U48" i="7"/>
  <c r="S107" i="7"/>
  <c r="U53" i="7"/>
  <c r="AG56" i="7"/>
  <c r="U38" i="15"/>
  <c r="B8" i="5"/>
  <c r="AS56" i="7"/>
  <c r="U49" i="7"/>
  <c r="U44" i="7"/>
  <c r="AA107" i="7"/>
  <c r="AK56" i="7"/>
  <c r="U40" i="7"/>
  <c r="Y56" i="7"/>
  <c r="AC56" i="7"/>
  <c r="U46" i="7"/>
  <c r="AO56" i="7"/>
  <c r="U43" i="7"/>
  <c r="AD61" i="12"/>
  <c r="N12" i="12"/>
  <c r="O13" i="12"/>
  <c r="O14" i="12"/>
  <c r="N13" i="12"/>
  <c r="AP12" i="12"/>
  <c r="AL12" i="12"/>
  <c r="AH12" i="12"/>
  <c r="AZ12" i="12"/>
  <c r="AF12" i="12"/>
  <c r="AX12" i="12"/>
  <c r="X12" i="12"/>
  <c r="V12" i="12"/>
  <c r="P62" i="12"/>
  <c r="X62" i="12"/>
  <c r="AT12" i="12"/>
  <c r="AV12" i="12"/>
  <c r="N62" i="12"/>
  <c r="AR12" i="12"/>
  <c r="J62" i="12"/>
  <c r="L62" i="12"/>
  <c r="Z62" i="12"/>
  <c r="AJ12" i="12"/>
  <c r="AN12" i="12"/>
  <c r="T62" i="12"/>
  <c r="AD12" i="12"/>
  <c r="Z12" i="12"/>
  <c r="R62" i="12"/>
  <c r="V62" i="12"/>
  <c r="AF62" i="12"/>
  <c r="AJ62" i="12"/>
  <c r="AB12" i="12"/>
  <c r="AH62" i="12"/>
  <c r="AB62" i="12"/>
  <c r="AD62" i="12"/>
  <c r="AL62" i="12"/>
  <c r="AZ13" i="12"/>
  <c r="AF13" i="12"/>
  <c r="AV13" i="12"/>
  <c r="AD13" i="12"/>
  <c r="AR13" i="12"/>
  <c r="Z13" i="12"/>
  <c r="AP13" i="12"/>
  <c r="AJ13" i="12"/>
  <c r="AX13" i="12"/>
  <c r="V63" i="12"/>
  <c r="R63" i="12"/>
  <c r="Z63" i="12"/>
  <c r="P63" i="12"/>
  <c r="AT13" i="12"/>
  <c r="N63" i="12"/>
  <c r="X13" i="12"/>
  <c r="V13" i="12"/>
  <c r="AH13" i="12"/>
  <c r="J63" i="12"/>
  <c r="AB13" i="12"/>
  <c r="T63" i="12"/>
  <c r="AB63" i="12"/>
  <c r="AH63" i="12"/>
  <c r="AL13" i="12"/>
  <c r="AN13" i="12"/>
  <c r="AF63" i="12"/>
  <c r="X63" i="12"/>
  <c r="AD63" i="12"/>
  <c r="AJ63" i="12"/>
  <c r="L63" i="12"/>
  <c r="AL63" i="12"/>
  <c r="O15" i="12"/>
  <c r="N14" i="12"/>
  <c r="AL14" i="12"/>
  <c r="AJ14" i="12"/>
  <c r="AH14" i="12"/>
  <c r="AZ14" i="12"/>
  <c r="AF14" i="12"/>
  <c r="AV14" i="12"/>
  <c r="AD14" i="12"/>
  <c r="AR14" i="12"/>
  <c r="Z14" i="12"/>
  <c r="AT14" i="12"/>
  <c r="N64" i="12"/>
  <c r="AX14" i="12"/>
  <c r="AP14" i="12"/>
  <c r="V14" i="12"/>
  <c r="L64" i="12"/>
  <c r="J64" i="12"/>
  <c r="T64" i="12"/>
  <c r="AB14" i="12"/>
  <c r="AN14" i="12"/>
  <c r="X64" i="12"/>
  <c r="R64" i="12"/>
  <c r="Z64" i="12"/>
  <c r="P64" i="12"/>
  <c r="X14" i="12"/>
  <c r="V64" i="12"/>
  <c r="AL64" i="12"/>
  <c r="AF64" i="12"/>
  <c r="AB64" i="12"/>
  <c r="AJ64" i="12"/>
  <c r="AD64" i="12"/>
  <c r="AH64" i="12"/>
  <c r="O16" i="12"/>
  <c r="N15" i="12"/>
  <c r="AV15" i="12"/>
  <c r="AD15" i="12"/>
  <c r="AT15" i="12"/>
  <c r="AB15" i="12"/>
  <c r="AR15" i="12"/>
  <c r="Z15" i="12"/>
  <c r="AP15" i="12"/>
  <c r="AL15" i="12"/>
  <c r="AH15" i="12"/>
  <c r="X65" i="12"/>
  <c r="R65" i="12"/>
  <c r="P65" i="12"/>
  <c r="V65" i="12"/>
  <c r="Z65" i="12"/>
  <c r="N65" i="12"/>
  <c r="X15" i="12"/>
  <c r="V15" i="12"/>
  <c r="AJ15" i="12"/>
  <c r="J65" i="12"/>
  <c r="AF15" i="12"/>
  <c r="AN15" i="12"/>
  <c r="AZ15" i="12"/>
  <c r="AD65" i="12"/>
  <c r="AH65" i="12"/>
  <c r="AB65" i="12"/>
  <c r="AX15" i="12"/>
  <c r="L65" i="12"/>
  <c r="T65" i="12"/>
  <c r="AL65" i="12"/>
  <c r="AF65" i="12"/>
  <c r="AJ65" i="12"/>
  <c r="O17" i="12"/>
  <c r="N16" i="12"/>
  <c r="AL16" i="12"/>
  <c r="AJ16" i="12"/>
  <c r="AH16" i="12"/>
  <c r="AX16" i="12"/>
  <c r="AF16" i="12"/>
  <c r="AV16" i="12"/>
  <c r="AD16" i="12"/>
  <c r="AR16" i="12"/>
  <c r="Z16" i="12"/>
  <c r="V16" i="12"/>
  <c r="N66" i="12"/>
  <c r="L66" i="12"/>
  <c r="X16" i="12"/>
  <c r="AT16" i="12"/>
  <c r="AZ16" i="12"/>
  <c r="V66" i="12"/>
  <c r="X66" i="12"/>
  <c r="AP16" i="12"/>
  <c r="J66" i="12"/>
  <c r="AB16" i="12"/>
  <c r="AN16" i="12"/>
  <c r="T66" i="12"/>
  <c r="Z66" i="12"/>
  <c r="R66" i="12"/>
  <c r="P66" i="12"/>
  <c r="AB66" i="12"/>
  <c r="AL66" i="12"/>
  <c r="AF66" i="12"/>
  <c r="AH66" i="12"/>
  <c r="AD66" i="12"/>
  <c r="AJ66" i="12"/>
  <c r="O18" i="12"/>
  <c r="N17" i="12"/>
  <c r="N18" i="12"/>
  <c r="O19" i="12"/>
  <c r="AT17" i="12"/>
  <c r="AD17" i="12"/>
  <c r="AR17" i="12"/>
  <c r="AB17" i="12"/>
  <c r="AN17" i="12"/>
  <c r="Z17" i="12"/>
  <c r="AL17" i="12"/>
  <c r="AJ17" i="12"/>
  <c r="AX17" i="12"/>
  <c r="AH17" i="12"/>
  <c r="AP17" i="12"/>
  <c r="T67" i="12"/>
  <c r="AF17" i="12"/>
  <c r="V17" i="12"/>
  <c r="R67" i="12"/>
  <c r="P67" i="12"/>
  <c r="N67" i="12"/>
  <c r="L67" i="12"/>
  <c r="X17" i="12"/>
  <c r="X67" i="12"/>
  <c r="AV17" i="12"/>
  <c r="AZ17" i="12"/>
  <c r="Z67" i="12"/>
  <c r="AB67" i="12"/>
  <c r="AF67" i="12"/>
  <c r="AH67" i="12"/>
  <c r="AD67" i="12"/>
  <c r="AJ67" i="12"/>
  <c r="AL67" i="12"/>
  <c r="J67" i="12"/>
  <c r="V67" i="12"/>
  <c r="O20" i="12"/>
  <c r="N19" i="12"/>
  <c r="AJ18" i="12"/>
  <c r="AH18" i="12"/>
  <c r="AX18" i="12"/>
  <c r="AF18" i="12"/>
  <c r="AV18" i="12"/>
  <c r="AD18" i="12"/>
  <c r="AT18" i="12"/>
  <c r="AB18" i="12"/>
  <c r="AN18" i="12"/>
  <c r="L68" i="12"/>
  <c r="X68" i="12"/>
  <c r="X18" i="12"/>
  <c r="V18" i="12"/>
  <c r="AZ18" i="12"/>
  <c r="AR18" i="12"/>
  <c r="J68" i="12"/>
  <c r="Z18" i="12"/>
  <c r="P68" i="12"/>
  <c r="T68" i="12"/>
  <c r="Z68" i="12"/>
  <c r="N68" i="12"/>
  <c r="AP18" i="12"/>
  <c r="V68" i="12"/>
  <c r="AH68" i="12"/>
  <c r="AJ68" i="12"/>
  <c r="AL68" i="12"/>
  <c r="R68" i="12"/>
  <c r="AD68" i="12"/>
  <c r="AF68" i="12"/>
  <c r="AB68" i="12"/>
  <c r="AL18" i="12"/>
  <c r="AX19" i="12"/>
  <c r="AH19" i="12"/>
  <c r="N69" i="12"/>
  <c r="AP19" i="12"/>
  <c r="AL19" i="12"/>
  <c r="AB19" i="12"/>
  <c r="V19" i="12"/>
  <c r="AD19" i="12"/>
  <c r="AB69" i="12"/>
  <c r="AF69" i="12"/>
  <c r="AV19" i="12"/>
  <c r="X19" i="12"/>
  <c r="Z19" i="12"/>
  <c r="AT19" i="12"/>
  <c r="Z69" i="12"/>
  <c r="L69" i="12"/>
  <c r="J69" i="12"/>
  <c r="AN19" i="12"/>
  <c r="AR19" i="12"/>
  <c r="AJ69" i="12"/>
  <c r="AF19" i="12"/>
  <c r="P69" i="12"/>
  <c r="AH69" i="12"/>
  <c r="X69" i="12"/>
  <c r="AD69" i="12"/>
  <c r="AJ19" i="12"/>
  <c r="V69" i="12"/>
  <c r="AZ19" i="12"/>
  <c r="R69" i="12"/>
  <c r="T69" i="12"/>
  <c r="AL69" i="12"/>
  <c r="N20" i="12"/>
  <c r="O21" i="12"/>
  <c r="R70" i="12"/>
  <c r="N70" i="12"/>
  <c r="AZ20" i="12"/>
  <c r="AN20" i="12"/>
  <c r="AB20" i="12"/>
  <c r="AT20" i="12"/>
  <c r="AH20" i="12"/>
  <c r="J70" i="12"/>
  <c r="AP20" i="12"/>
  <c r="AJ20" i="12"/>
  <c r="AD20" i="12"/>
  <c r="X20" i="12"/>
  <c r="P70" i="12"/>
  <c r="L70" i="12"/>
  <c r="AX20" i="12"/>
  <c r="Z20" i="12"/>
  <c r="V20" i="12"/>
  <c r="AR20" i="12"/>
  <c r="AF20" i="12"/>
  <c r="Z70" i="12"/>
  <c r="X70" i="12"/>
  <c r="AL20" i="12"/>
  <c r="AV20" i="12"/>
  <c r="T70" i="12"/>
  <c r="V70" i="12"/>
  <c r="AD70" i="12"/>
  <c r="AF70" i="12"/>
  <c r="AB70" i="12"/>
  <c r="AH70" i="12"/>
  <c r="AL70" i="12"/>
  <c r="AJ70" i="12"/>
  <c r="O22" i="12"/>
  <c r="N21" i="12"/>
  <c r="O23" i="12"/>
  <c r="N22" i="12"/>
  <c r="AR21" i="12"/>
  <c r="AL21" i="12"/>
  <c r="AF21" i="12"/>
  <c r="R71" i="12"/>
  <c r="N71" i="12"/>
  <c r="AZ21" i="12"/>
  <c r="AN21" i="12"/>
  <c r="AB21" i="12"/>
  <c r="AT21" i="12"/>
  <c r="AH21" i="12"/>
  <c r="J71" i="12"/>
  <c r="AJ21" i="12"/>
  <c r="AV21" i="12"/>
  <c r="V71" i="12"/>
  <c r="P71" i="12"/>
  <c r="AP21" i="12"/>
  <c r="AD21" i="12"/>
  <c r="L71" i="12"/>
  <c r="X71" i="12"/>
  <c r="Z21" i="12"/>
  <c r="V21" i="12"/>
  <c r="AX21" i="12"/>
  <c r="T71" i="12"/>
  <c r="X21" i="12"/>
  <c r="Z71" i="12"/>
  <c r="AD71" i="12"/>
  <c r="AB71" i="12"/>
  <c r="AH71" i="12"/>
  <c r="AL71" i="12"/>
  <c r="AF71" i="12"/>
  <c r="AJ71" i="12"/>
  <c r="L72" i="12"/>
  <c r="AV22" i="12"/>
  <c r="Z22" i="12"/>
  <c r="AR22" i="12"/>
  <c r="AL22" i="12"/>
  <c r="AF22" i="12"/>
  <c r="X22" i="12"/>
  <c r="P72" i="12"/>
  <c r="R72" i="12"/>
  <c r="N72" i="12"/>
  <c r="V22" i="12"/>
  <c r="AZ22" i="12"/>
  <c r="AN22" i="12"/>
  <c r="AB22" i="12"/>
  <c r="AX22" i="12"/>
  <c r="AT22" i="12"/>
  <c r="AH22" i="12"/>
  <c r="AP22" i="12"/>
  <c r="AD22" i="12"/>
  <c r="T72" i="12"/>
  <c r="J72" i="12"/>
  <c r="V72" i="12"/>
  <c r="AJ22" i="12"/>
  <c r="Z72" i="12"/>
  <c r="X72" i="12"/>
  <c r="AJ72" i="12"/>
  <c r="AF72" i="12"/>
  <c r="AH72" i="12"/>
  <c r="AB72" i="12"/>
  <c r="AL72" i="12"/>
  <c r="AD72" i="12"/>
  <c r="O24" i="12"/>
  <c r="N23" i="12"/>
  <c r="O25" i="12"/>
  <c r="N24" i="12"/>
  <c r="AJ23" i="12"/>
  <c r="L73" i="12"/>
  <c r="Z23" i="12"/>
  <c r="AR23" i="12"/>
  <c r="AL23" i="12"/>
  <c r="AF23" i="12"/>
  <c r="R73" i="12"/>
  <c r="N73" i="12"/>
  <c r="AZ23" i="12"/>
  <c r="AB23" i="12"/>
  <c r="J73" i="12"/>
  <c r="P73" i="12"/>
  <c r="AP23" i="12"/>
  <c r="AD23" i="12"/>
  <c r="V23" i="12"/>
  <c r="AN23" i="12"/>
  <c r="AV23" i="12"/>
  <c r="T73" i="12"/>
  <c r="AX23" i="12"/>
  <c r="X23" i="12"/>
  <c r="AT23" i="12"/>
  <c r="AH23" i="12"/>
  <c r="X73" i="12"/>
  <c r="Z73" i="12"/>
  <c r="AB73" i="12"/>
  <c r="AH73" i="12"/>
  <c r="AL73" i="12"/>
  <c r="AD73" i="12"/>
  <c r="AF73" i="12"/>
  <c r="AJ73" i="12"/>
  <c r="V73" i="12"/>
  <c r="P74" i="12"/>
  <c r="AP24" i="12"/>
  <c r="AD24" i="12"/>
  <c r="AV24" i="12"/>
  <c r="AJ24" i="12"/>
  <c r="X24" i="12"/>
  <c r="L74" i="12"/>
  <c r="Z24" i="12"/>
  <c r="AX24" i="12"/>
  <c r="AR24" i="12"/>
  <c r="AL24" i="12"/>
  <c r="AF24" i="12"/>
  <c r="AT24" i="12"/>
  <c r="AN24" i="12"/>
  <c r="AH24" i="12"/>
  <c r="R74" i="12"/>
  <c r="N74" i="12"/>
  <c r="AB24" i="12"/>
  <c r="Z74" i="12"/>
  <c r="V74" i="12"/>
  <c r="X74" i="12"/>
  <c r="T74" i="12"/>
  <c r="AF74" i="12"/>
  <c r="AL74" i="12"/>
  <c r="J74" i="12"/>
  <c r="AD74" i="12"/>
  <c r="AJ74" i="12"/>
  <c r="AZ24" i="12"/>
  <c r="AB74" i="12"/>
  <c r="AH74" i="12"/>
  <c r="O26" i="12"/>
  <c r="N25" i="12"/>
  <c r="AN25" i="12"/>
  <c r="P75" i="12"/>
  <c r="AL25" i="12"/>
  <c r="R75" i="12"/>
  <c r="AJ25" i="12"/>
  <c r="X25" i="12"/>
  <c r="V25" i="12"/>
  <c r="AZ25" i="12"/>
  <c r="AH25" i="12"/>
  <c r="J75" i="12"/>
  <c r="AX25" i="12"/>
  <c r="AF25" i="12"/>
  <c r="AR25" i="12"/>
  <c r="AB25" i="12"/>
  <c r="L75" i="12"/>
  <c r="AP25" i="12"/>
  <c r="AD25" i="12"/>
  <c r="X75" i="12"/>
  <c r="Z25" i="12"/>
  <c r="V75" i="12"/>
  <c r="N75" i="12"/>
  <c r="Z75" i="12"/>
  <c r="AT25" i="12"/>
  <c r="AV25" i="12"/>
  <c r="AH75" i="12"/>
  <c r="T75" i="12"/>
  <c r="AB75" i="12"/>
  <c r="AJ75" i="12"/>
  <c r="AL75" i="12"/>
  <c r="AF75" i="12"/>
  <c r="AD75" i="12"/>
  <c r="N26" i="12"/>
  <c r="O27" i="12"/>
  <c r="V24" i="12"/>
  <c r="AL26" i="12"/>
  <c r="R76" i="12"/>
  <c r="AJ26" i="12"/>
  <c r="X26" i="12"/>
  <c r="AZ26" i="12"/>
  <c r="AH26" i="12"/>
  <c r="AV26" i="12"/>
  <c r="AX26" i="12"/>
  <c r="AF26" i="12"/>
  <c r="AT26" i="12"/>
  <c r="AD26" i="12"/>
  <c r="J76" i="12"/>
  <c r="AP26" i="12"/>
  <c r="Z26" i="12"/>
  <c r="N76" i="12"/>
  <c r="L76" i="12"/>
  <c r="X76" i="12"/>
  <c r="AR26" i="12"/>
  <c r="V26" i="12"/>
  <c r="P76" i="12"/>
  <c r="Z76" i="12"/>
  <c r="AN26" i="12"/>
  <c r="AB26" i="12"/>
  <c r="V76" i="12"/>
  <c r="T76" i="12"/>
  <c r="AH76" i="12"/>
  <c r="AJ76" i="12"/>
  <c r="AL76" i="12"/>
  <c r="AF76" i="12"/>
  <c r="AD76" i="12"/>
  <c r="AB76" i="12"/>
  <c r="N27" i="12"/>
  <c r="O28" i="12"/>
  <c r="N28" i="12"/>
  <c r="O29" i="12"/>
  <c r="AL27" i="12"/>
  <c r="T77" i="12"/>
  <c r="AT27" i="12"/>
  <c r="AV27" i="12"/>
  <c r="AF77" i="12"/>
  <c r="AL77" i="12"/>
  <c r="Z77" i="12"/>
  <c r="AN27" i="12"/>
  <c r="AB27" i="12"/>
  <c r="AR27" i="12"/>
  <c r="AD77" i="12"/>
  <c r="V77" i="12"/>
  <c r="R77" i="12"/>
  <c r="AJ77" i="12"/>
  <c r="J77" i="12"/>
  <c r="AJ27" i="12"/>
  <c r="X27" i="12"/>
  <c r="AH77" i="12"/>
  <c r="P77" i="12"/>
  <c r="AZ27" i="12"/>
  <c r="X77" i="12"/>
  <c r="Z27" i="12"/>
  <c r="V27" i="12"/>
  <c r="N77" i="12"/>
  <c r="L77" i="12"/>
  <c r="AB77" i="12"/>
  <c r="AH27" i="12"/>
  <c r="AP27" i="12"/>
  <c r="AX27" i="12"/>
  <c r="AD27" i="12"/>
  <c r="AF27" i="12"/>
  <c r="O30" i="12"/>
  <c r="N29" i="12"/>
  <c r="X28" i="12"/>
  <c r="AH28" i="12"/>
  <c r="AX28" i="12"/>
  <c r="R78" i="12"/>
  <c r="AJ28" i="12"/>
  <c r="AZ28" i="12"/>
  <c r="J78" i="12"/>
  <c r="AL28" i="12"/>
  <c r="Z28" i="12"/>
  <c r="AN28" i="12"/>
  <c r="AB28" i="12"/>
  <c r="V28" i="12"/>
  <c r="AP28" i="12"/>
  <c r="AD28" i="12"/>
  <c r="AT28" i="12"/>
  <c r="N78" i="12"/>
  <c r="AR28" i="12"/>
  <c r="P78" i="12"/>
  <c r="Z78" i="12"/>
  <c r="AV28" i="12"/>
  <c r="X78" i="12"/>
  <c r="T78" i="12"/>
  <c r="V78" i="12"/>
  <c r="AF28" i="12"/>
  <c r="L78" i="12"/>
  <c r="AJ78" i="12"/>
  <c r="AL78" i="12"/>
  <c r="AH78" i="12"/>
  <c r="AD78" i="12"/>
  <c r="AB78" i="12"/>
  <c r="AF78" i="12"/>
  <c r="AX29" i="12"/>
  <c r="AH29" i="12"/>
  <c r="J79" i="12"/>
  <c r="AV29" i="12"/>
  <c r="AF29" i="12"/>
  <c r="AT29" i="12"/>
  <c r="AD29" i="12"/>
  <c r="L79" i="12"/>
  <c r="AR29" i="12"/>
  <c r="AB29" i="12"/>
  <c r="N79" i="12"/>
  <c r="AP29" i="12"/>
  <c r="Z29" i="12"/>
  <c r="P79" i="12"/>
  <c r="AL29" i="12"/>
  <c r="X29" i="12"/>
  <c r="V79" i="12"/>
  <c r="Z79" i="12"/>
  <c r="R79" i="12"/>
  <c r="V29" i="12"/>
  <c r="AZ29" i="12"/>
  <c r="AJ29" i="12"/>
  <c r="AL79" i="12"/>
  <c r="AN29" i="12"/>
  <c r="AB79" i="12"/>
  <c r="T79" i="12"/>
  <c r="AJ79" i="12"/>
  <c r="AD79" i="12"/>
  <c r="AH79" i="12"/>
  <c r="X79" i="12"/>
  <c r="AF79" i="12"/>
  <c r="O31" i="12"/>
  <c r="N30" i="12"/>
  <c r="AV30" i="12"/>
  <c r="AF30" i="12"/>
  <c r="L80" i="12"/>
  <c r="AT30" i="12"/>
  <c r="AD30" i="12"/>
  <c r="N80" i="12"/>
  <c r="AR30" i="12"/>
  <c r="AB30" i="12"/>
  <c r="P80" i="12"/>
  <c r="AP30" i="12"/>
  <c r="Z30" i="12"/>
  <c r="R80" i="12"/>
  <c r="AN30" i="12"/>
  <c r="AZ30" i="12"/>
  <c r="AJ30" i="12"/>
  <c r="J80" i="12"/>
  <c r="AL30" i="12"/>
  <c r="AH30" i="12"/>
  <c r="T80" i="12"/>
  <c r="X80" i="12"/>
  <c r="V80" i="12"/>
  <c r="X30" i="12"/>
  <c r="V30" i="12"/>
  <c r="Z80" i="12"/>
  <c r="AX30" i="12"/>
  <c r="AH80" i="12"/>
  <c r="AF80" i="12"/>
  <c r="AJ80" i="12"/>
  <c r="AD80" i="12"/>
  <c r="AB80" i="12"/>
  <c r="AL80" i="12"/>
  <c r="O32" i="12"/>
  <c r="N31" i="12"/>
  <c r="AP31" i="12"/>
  <c r="AB31" i="12"/>
  <c r="P81" i="12"/>
  <c r="AN31" i="12"/>
  <c r="Z31" i="12"/>
  <c r="AL31" i="12"/>
  <c r="AZ31" i="12"/>
  <c r="AJ31" i="12"/>
  <c r="X31" i="12"/>
  <c r="AX31" i="12"/>
  <c r="AH31" i="12"/>
  <c r="R81" i="12"/>
  <c r="AT31" i="12"/>
  <c r="V31" i="12"/>
  <c r="L81" i="12"/>
  <c r="N81" i="12"/>
  <c r="Z81" i="12"/>
  <c r="AV31" i="12"/>
  <c r="AR31" i="12"/>
  <c r="AF31" i="12"/>
  <c r="V81" i="12"/>
  <c r="AD31" i="12"/>
  <c r="T81" i="12"/>
  <c r="J81" i="12"/>
  <c r="X81" i="12"/>
  <c r="AB81" i="12"/>
  <c r="AF81" i="12"/>
  <c r="AD81" i="12"/>
  <c r="AH81" i="12"/>
  <c r="AL81" i="12"/>
  <c r="AJ81" i="12"/>
  <c r="O33" i="12"/>
  <c r="N32" i="12"/>
  <c r="O34" i="12"/>
  <c r="N33" i="12"/>
  <c r="N82" i="12"/>
  <c r="AX32" i="12"/>
  <c r="AF32" i="12"/>
  <c r="AB32" i="12"/>
  <c r="X82" i="12"/>
  <c r="X32" i="12"/>
  <c r="V32" i="12"/>
  <c r="AP32" i="12"/>
  <c r="AD32" i="12"/>
  <c r="AT32" i="12"/>
  <c r="Z32" i="12"/>
  <c r="AV32" i="12"/>
  <c r="AJ32" i="12"/>
  <c r="AZ32" i="12"/>
  <c r="R82" i="12"/>
  <c r="T82" i="12"/>
  <c r="L82" i="12"/>
  <c r="AH32" i="12"/>
  <c r="Z82" i="12"/>
  <c r="J82" i="12"/>
  <c r="AN32" i="12"/>
  <c r="AL32" i="12"/>
  <c r="AR32" i="12"/>
  <c r="P82" i="12"/>
  <c r="AD82" i="12"/>
  <c r="AL82" i="12"/>
  <c r="AB82" i="12"/>
  <c r="AJ82" i="12"/>
  <c r="V82" i="12"/>
  <c r="AF82" i="12"/>
  <c r="AH82" i="12"/>
  <c r="AJ33" i="12"/>
  <c r="AR33" i="12"/>
  <c r="AV33" i="12"/>
  <c r="AT33" i="12"/>
  <c r="P83" i="12"/>
  <c r="Z33" i="12"/>
  <c r="V33" i="12"/>
  <c r="AD33" i="12"/>
  <c r="N83" i="12"/>
  <c r="AL33" i="12"/>
  <c r="L83" i="12"/>
  <c r="X33" i="12"/>
  <c r="R83" i="12"/>
  <c r="AX33" i="12"/>
  <c r="AN33" i="12"/>
  <c r="V83" i="12"/>
  <c r="AZ33" i="12"/>
  <c r="T83" i="12"/>
  <c r="AF33" i="12"/>
  <c r="AP33" i="12"/>
  <c r="J83" i="12"/>
  <c r="AH33" i="12"/>
  <c r="AL83" i="12"/>
  <c r="AB33" i="12"/>
  <c r="X83" i="12"/>
  <c r="AJ83" i="12"/>
  <c r="AF83" i="12"/>
  <c r="AH83" i="12"/>
  <c r="Z83" i="12"/>
  <c r="AB83" i="12"/>
  <c r="AD83" i="12"/>
  <c r="N34" i="12"/>
  <c r="O35" i="12"/>
  <c r="AD34" i="12"/>
  <c r="AV34" i="12"/>
  <c r="J84" i="12"/>
  <c r="AB34" i="12"/>
  <c r="T84" i="12"/>
  <c r="L84" i="12"/>
  <c r="AX34" i="12"/>
  <c r="AR34" i="12"/>
  <c r="R84" i="12"/>
  <c r="AN34" i="12"/>
  <c r="P84" i="12"/>
  <c r="AL34" i="12"/>
  <c r="AP34" i="12"/>
  <c r="AF34" i="12"/>
  <c r="X84" i="12"/>
  <c r="AH34" i="12"/>
  <c r="AZ34" i="12"/>
  <c r="X34" i="12"/>
  <c r="AT34" i="12"/>
  <c r="V84" i="12"/>
  <c r="AJ34" i="12"/>
  <c r="AL84" i="12"/>
  <c r="AF84" i="12"/>
  <c r="AD84" i="12"/>
  <c r="AH84" i="12"/>
  <c r="Z34" i="12"/>
  <c r="AJ84" i="12"/>
  <c r="Z84" i="12"/>
  <c r="AB84" i="12"/>
  <c r="N84" i="12"/>
  <c r="N35" i="12"/>
  <c r="O36" i="12"/>
  <c r="N36" i="12"/>
  <c r="O37" i="12"/>
  <c r="V34" i="12"/>
  <c r="Z35" i="12"/>
  <c r="AL35" i="12"/>
  <c r="AJ35" i="12"/>
  <c r="AZ35" i="12"/>
  <c r="J85" i="12"/>
  <c r="AP35" i="12"/>
  <c r="P85" i="12"/>
  <c r="N85" i="12"/>
  <c r="AB85" i="12"/>
  <c r="AR35" i="12"/>
  <c r="AX35" i="12"/>
  <c r="X85" i="12"/>
  <c r="AJ85" i="12"/>
  <c r="AF35" i="12"/>
  <c r="AB35" i="12"/>
  <c r="AF85" i="12"/>
  <c r="X35" i="12"/>
  <c r="V35" i="12"/>
  <c r="Z85" i="12"/>
  <c r="AT35" i="12"/>
  <c r="T85" i="12"/>
  <c r="AD85" i="12"/>
  <c r="AD35" i="12"/>
  <c r="AV35" i="12"/>
  <c r="AH85" i="12"/>
  <c r="AN35" i="12"/>
  <c r="AL85" i="12"/>
  <c r="R85" i="12"/>
  <c r="AH35" i="12"/>
  <c r="V85" i="12"/>
  <c r="L85" i="12"/>
  <c r="O38" i="12"/>
  <c r="N37" i="12"/>
  <c r="AP36" i="12"/>
  <c r="X36" i="12"/>
  <c r="V36" i="12"/>
  <c r="L86" i="12"/>
  <c r="J86" i="12"/>
  <c r="AB36" i="12"/>
  <c r="AN36" i="12"/>
  <c r="AX36" i="12"/>
  <c r="N86" i="12"/>
  <c r="Z86" i="12"/>
  <c r="AL36" i="12"/>
  <c r="AH36" i="12"/>
  <c r="T86" i="12"/>
  <c r="P86" i="12"/>
  <c r="AT36" i="12"/>
  <c r="AR36" i="12"/>
  <c r="AV36" i="12"/>
  <c r="X86" i="12"/>
  <c r="Z36" i="12"/>
  <c r="AD36" i="12"/>
  <c r="AJ36" i="12"/>
  <c r="AZ36" i="12"/>
  <c r="AD86" i="12"/>
  <c r="AJ86" i="12"/>
  <c r="AF36" i="12"/>
  <c r="AL86" i="12"/>
  <c r="AB86" i="12"/>
  <c r="AF86" i="12"/>
  <c r="AH86" i="12"/>
  <c r="V86" i="12"/>
  <c r="R86" i="12"/>
  <c r="X37" i="12"/>
  <c r="AL37" i="12"/>
  <c r="AJ37" i="12"/>
  <c r="T87" i="12"/>
  <c r="AF37" i="12"/>
  <c r="AN37" i="12"/>
  <c r="L87" i="12"/>
  <c r="P87" i="12"/>
  <c r="R87" i="12"/>
  <c r="AV37" i="12"/>
  <c r="AX37" i="12"/>
  <c r="AH37" i="12"/>
  <c r="AR37" i="12"/>
  <c r="Z37" i="12"/>
  <c r="X87" i="12"/>
  <c r="Z87" i="12"/>
  <c r="V37" i="12"/>
  <c r="AP37" i="12"/>
  <c r="J87" i="12"/>
  <c r="AB37" i="12"/>
  <c r="AT37" i="12"/>
  <c r="N87" i="12"/>
  <c r="V87" i="12"/>
  <c r="AB87" i="12"/>
  <c r="AH87" i="12"/>
  <c r="AZ37" i="12"/>
  <c r="AL87" i="12"/>
  <c r="AD37" i="12"/>
  <c r="AJ87" i="12"/>
  <c r="AD87" i="12"/>
  <c r="AF87" i="12"/>
  <c r="O39" i="12"/>
  <c r="N38" i="12"/>
  <c r="O40" i="12"/>
  <c r="N39" i="12"/>
  <c r="P88" i="12"/>
  <c r="AX38" i="12"/>
  <c r="AN38" i="12"/>
  <c r="Z38" i="12"/>
  <c r="AF38" i="12"/>
  <c r="N88" i="12"/>
  <c r="AT38" i="12"/>
  <c r="AL38" i="12"/>
  <c r="X38" i="12"/>
  <c r="V38" i="12"/>
  <c r="AR38" i="12"/>
  <c r="AD38" i="12"/>
  <c r="AV38" i="12"/>
  <c r="AP38" i="12"/>
  <c r="AB38" i="12"/>
  <c r="AH38" i="12"/>
  <c r="T88" i="12"/>
  <c r="Z88" i="12"/>
  <c r="V88" i="12"/>
  <c r="AZ38" i="12"/>
  <c r="R88" i="12"/>
  <c r="X88" i="12"/>
  <c r="L88" i="12"/>
  <c r="J88" i="12"/>
  <c r="AJ38" i="12"/>
  <c r="AF88" i="12"/>
  <c r="AL88" i="12"/>
  <c r="AB88" i="12"/>
  <c r="AD88" i="12"/>
  <c r="AJ88" i="12"/>
  <c r="AH88" i="12"/>
  <c r="AN39" i="12"/>
  <c r="AF39" i="12"/>
  <c r="N89" i="12"/>
  <c r="AX39" i="12"/>
  <c r="X39" i="12"/>
  <c r="V39" i="12"/>
  <c r="AR39" i="12"/>
  <c r="Z39" i="12"/>
  <c r="L89" i="12"/>
  <c r="AJ39" i="12"/>
  <c r="AT39" i="12"/>
  <c r="AB39" i="12"/>
  <c r="V89" i="12"/>
  <c r="AL39" i="12"/>
  <c r="X89" i="12"/>
  <c r="Z89" i="12"/>
  <c r="AD39" i="12"/>
  <c r="P89" i="12"/>
  <c r="R89" i="12"/>
  <c r="AP39" i="12"/>
  <c r="J89" i="12"/>
  <c r="AH39" i="12"/>
  <c r="T89" i="12"/>
  <c r="AJ89" i="12"/>
  <c r="AV39" i="12"/>
  <c r="AB89" i="12"/>
  <c r="AZ39" i="12"/>
  <c r="AF89" i="12"/>
  <c r="AL89" i="12"/>
  <c r="AH89" i="12"/>
  <c r="AD89" i="12"/>
  <c r="O41" i="12"/>
  <c r="N40" i="12"/>
  <c r="N41" i="12"/>
  <c r="O42" i="12"/>
  <c r="AX40" i="12"/>
  <c r="AR40" i="12"/>
  <c r="X90" i="12"/>
  <c r="Z90" i="12"/>
  <c r="Z40" i="12"/>
  <c r="AP40" i="12"/>
  <c r="AB40" i="12"/>
  <c r="N90" i="12"/>
  <c r="AN40" i="12"/>
  <c r="AD40" i="12"/>
  <c r="L90" i="12"/>
  <c r="AL40" i="12"/>
  <c r="J90" i="12"/>
  <c r="AJ40" i="12"/>
  <c r="AF40" i="12"/>
  <c r="V40" i="12"/>
  <c r="AV40" i="12"/>
  <c r="R90" i="12"/>
  <c r="T90" i="12"/>
  <c r="AT40" i="12"/>
  <c r="P90" i="12"/>
  <c r="V90" i="12"/>
  <c r="AJ90" i="12"/>
  <c r="AB90" i="12"/>
  <c r="X40" i="12"/>
  <c r="AF90" i="12"/>
  <c r="AD90" i="12"/>
  <c r="AZ40" i="12"/>
  <c r="AH40" i="12"/>
  <c r="AH90" i="12"/>
  <c r="AL90" i="12"/>
  <c r="N42" i="12"/>
  <c r="O43" i="12"/>
  <c r="J91" i="12"/>
  <c r="AH41" i="12"/>
  <c r="P91" i="12"/>
  <c r="AV41" i="12"/>
  <c r="Z41" i="12"/>
  <c r="X41" i="12"/>
  <c r="V41" i="12"/>
  <c r="AN41" i="12"/>
  <c r="AX41" i="12"/>
  <c r="AT41" i="12"/>
  <c r="AF41" i="12"/>
  <c r="N91" i="12"/>
  <c r="AL41" i="12"/>
  <c r="R91" i="12"/>
  <c r="L91" i="12"/>
  <c r="AZ41" i="12"/>
  <c r="AJ41" i="12"/>
  <c r="X91" i="12"/>
  <c r="Z91" i="12"/>
  <c r="AD41" i="12"/>
  <c r="AB41" i="12"/>
  <c r="T91" i="12"/>
  <c r="V91" i="12"/>
  <c r="AP41" i="12"/>
  <c r="AR41" i="12"/>
  <c r="AH91" i="12"/>
  <c r="AD91" i="12"/>
  <c r="AB91" i="12"/>
  <c r="AL91" i="12"/>
  <c r="AJ91" i="12"/>
  <c r="AF91" i="12"/>
  <c r="N43" i="12"/>
  <c r="O44" i="12"/>
  <c r="L92" i="12"/>
  <c r="AL42" i="12"/>
  <c r="AP42" i="12"/>
  <c r="AT42" i="12"/>
  <c r="AN42" i="12"/>
  <c r="AJ42" i="12"/>
  <c r="AB42" i="12"/>
  <c r="AD42" i="12"/>
  <c r="Z42" i="12"/>
  <c r="V42" i="12"/>
  <c r="J92" i="12"/>
  <c r="T92" i="12"/>
  <c r="V92" i="12"/>
  <c r="X92" i="12"/>
  <c r="AZ42" i="12"/>
  <c r="AX42" i="12"/>
  <c r="AR42" i="12"/>
  <c r="N92" i="12"/>
  <c r="AF42" i="12"/>
  <c r="AV42" i="12"/>
  <c r="X42" i="12"/>
  <c r="AH42" i="12"/>
  <c r="AD92" i="12"/>
  <c r="R92" i="12"/>
  <c r="AL92" i="12"/>
  <c r="Z92" i="12"/>
  <c r="AB92" i="12"/>
  <c r="AH92" i="12"/>
  <c r="AF92" i="12"/>
  <c r="AJ92" i="12"/>
  <c r="P92" i="12"/>
  <c r="AL43" i="12"/>
  <c r="AB43" i="12"/>
  <c r="AX43" i="12"/>
  <c r="J93" i="12"/>
  <c r="Z43" i="12"/>
  <c r="Z93" i="12"/>
  <c r="AB93" i="12"/>
  <c r="AR43" i="12"/>
  <c r="AP43" i="12"/>
  <c r="V93" i="12"/>
  <c r="R93" i="12"/>
  <c r="AJ93" i="12"/>
  <c r="AL93" i="12"/>
  <c r="T93" i="12"/>
  <c r="AJ43" i="12"/>
  <c r="AF93" i="12"/>
  <c r="AH43" i="12"/>
  <c r="L93" i="12"/>
  <c r="AT43" i="12"/>
  <c r="P93" i="12"/>
  <c r="AH93" i="12"/>
  <c r="AV43" i="12"/>
  <c r="X43" i="12"/>
  <c r="N93" i="12"/>
  <c r="AD93" i="12"/>
  <c r="AD43" i="12"/>
  <c r="AF43" i="12"/>
  <c r="V43" i="12"/>
  <c r="X93" i="12"/>
  <c r="AN43" i="12"/>
  <c r="AZ43" i="12"/>
  <c r="N44" i="12"/>
  <c r="O45" i="12"/>
  <c r="P94" i="12"/>
  <c r="L94" i="12"/>
  <c r="AB44" i="12"/>
  <c r="V44" i="12"/>
  <c r="AN44" i="12"/>
  <c r="R94" i="12"/>
  <c r="AL44" i="12"/>
  <c r="AF44" i="12"/>
  <c r="Z94" i="12"/>
  <c r="T94" i="12"/>
  <c r="AD44" i="12"/>
  <c r="AZ44" i="12"/>
  <c r="X94" i="12"/>
  <c r="AH44" i="12"/>
  <c r="X44" i="12"/>
  <c r="Z44" i="12"/>
  <c r="AX44" i="12"/>
  <c r="AP44" i="12"/>
  <c r="AV44" i="12"/>
  <c r="V94" i="12"/>
  <c r="N94" i="12"/>
  <c r="AT44" i="12"/>
  <c r="J94" i="12"/>
  <c r="AR44" i="12"/>
  <c r="AJ44" i="12"/>
  <c r="AH94" i="12"/>
  <c r="AJ94" i="12"/>
  <c r="AD94" i="12"/>
  <c r="AF94" i="12"/>
  <c r="AL94" i="12"/>
  <c r="AB94" i="12"/>
  <c r="O46" i="12"/>
  <c r="N45" i="12"/>
  <c r="X45" i="12"/>
  <c r="AT45" i="12"/>
  <c r="J95" i="12"/>
  <c r="AL45" i="12"/>
  <c r="T95" i="12"/>
  <c r="AP45" i="12"/>
  <c r="N95" i="12"/>
  <c r="AX45" i="12"/>
  <c r="Z45" i="12"/>
  <c r="V45" i="12"/>
  <c r="AV45" i="12"/>
  <c r="AF45" i="12"/>
  <c r="AB45" i="12"/>
  <c r="L95" i="12"/>
  <c r="V95" i="12"/>
  <c r="X95" i="12"/>
  <c r="AD45" i="12"/>
  <c r="AH45" i="12"/>
  <c r="Z95" i="12"/>
  <c r="P95" i="12"/>
  <c r="AJ45" i="12"/>
  <c r="R95" i="12"/>
  <c r="AR45" i="12"/>
  <c r="AF95" i="12"/>
  <c r="AJ95" i="12"/>
  <c r="AZ45" i="12"/>
  <c r="AB95" i="12"/>
  <c r="AD95" i="12"/>
  <c r="AH95" i="12"/>
  <c r="AL95" i="12"/>
  <c r="AN45" i="12"/>
  <c r="O47" i="12"/>
  <c r="N46" i="12"/>
  <c r="O48" i="12"/>
  <c r="N47" i="12"/>
  <c r="J96" i="12"/>
  <c r="AP46" i="12"/>
  <c r="AJ46" i="12"/>
  <c r="AF46" i="12"/>
  <c r="V96" i="12"/>
  <c r="X96" i="12"/>
  <c r="AT46" i="12"/>
  <c r="T96" i="12"/>
  <c r="AH46" i="12"/>
  <c r="AR46" i="12"/>
  <c r="L96" i="12"/>
  <c r="AD46" i="12"/>
  <c r="X46" i="12"/>
  <c r="V46" i="12"/>
  <c r="N96" i="12"/>
  <c r="Z46" i="12"/>
  <c r="Z96" i="12"/>
  <c r="AL46" i="12"/>
  <c r="AX46" i="12"/>
  <c r="P96" i="12"/>
  <c r="AZ46" i="12"/>
  <c r="AN46" i="12"/>
  <c r="AV46" i="12"/>
  <c r="AJ96" i="12"/>
  <c r="AD96" i="12"/>
  <c r="AF96" i="12"/>
  <c r="AB96" i="12"/>
  <c r="AB46" i="12"/>
  <c r="AL96" i="12"/>
  <c r="AH96" i="12"/>
  <c r="R96" i="12"/>
  <c r="Z47" i="12"/>
  <c r="X47" i="12"/>
  <c r="V47" i="12"/>
  <c r="AV47" i="12"/>
  <c r="AJ47" i="12"/>
  <c r="V97" i="12"/>
  <c r="AX47" i="12"/>
  <c r="AN47" i="12"/>
  <c r="AZ47" i="12"/>
  <c r="N97" i="12"/>
  <c r="Z97" i="12"/>
  <c r="AP47" i="12"/>
  <c r="J97" i="12"/>
  <c r="AF47" i="12"/>
  <c r="AH47" i="12"/>
  <c r="P97" i="12"/>
  <c r="AD47" i="12"/>
  <c r="AL47" i="12"/>
  <c r="X97" i="12"/>
  <c r="AT47" i="12"/>
  <c r="AR47" i="12"/>
  <c r="L97" i="12"/>
  <c r="R97" i="12"/>
  <c r="AJ97" i="12"/>
  <c r="AB47" i="12"/>
  <c r="AB97" i="12"/>
  <c r="AD97" i="12"/>
  <c r="AL97" i="12"/>
  <c r="T97" i="12"/>
  <c r="AF97" i="12"/>
  <c r="AH97" i="12"/>
  <c r="N48" i="12"/>
  <c r="O49" i="12"/>
  <c r="AL48" i="12"/>
  <c r="AN48" i="12"/>
  <c r="J98" i="12"/>
  <c r="AF48" i="12"/>
  <c r="T98" i="12"/>
  <c r="AJ48" i="12"/>
  <c r="AR48" i="12"/>
  <c r="X48" i="12"/>
  <c r="V48" i="12"/>
  <c r="Z48" i="12"/>
  <c r="AZ48" i="12"/>
  <c r="AX48" i="12"/>
  <c r="N98" i="12"/>
  <c r="L98" i="12"/>
  <c r="AP48" i="12"/>
  <c r="Z98" i="12"/>
  <c r="R98" i="12"/>
  <c r="P98" i="12"/>
  <c r="AV48" i="12"/>
  <c r="X98" i="12"/>
  <c r="AH98" i="12"/>
  <c r="AD98" i="12"/>
  <c r="AL98" i="12"/>
  <c r="AH48" i="12"/>
  <c r="AD48" i="12"/>
  <c r="V98" i="12"/>
  <c r="AF98" i="12"/>
  <c r="AB48" i="12"/>
  <c r="AT48" i="12"/>
  <c r="AB98" i="12"/>
  <c r="AJ98" i="12"/>
  <c r="N49" i="12"/>
  <c r="O50" i="12"/>
  <c r="N50" i="12"/>
  <c r="AJ49" i="12"/>
  <c r="X49" i="12"/>
  <c r="AB49" i="12"/>
  <c r="AV49" i="12"/>
  <c r="AZ49" i="12"/>
  <c r="L99" i="12"/>
  <c r="AP49" i="12"/>
  <c r="AL49" i="12"/>
  <c r="N99" i="12"/>
  <c r="V99" i="12"/>
  <c r="Z49" i="12"/>
  <c r="V49" i="12"/>
  <c r="AF49" i="12"/>
  <c r="J99" i="12"/>
  <c r="AR49" i="12"/>
  <c r="AT49" i="12"/>
  <c r="AH49" i="12"/>
  <c r="T99" i="12"/>
  <c r="R99" i="12"/>
  <c r="X99" i="12"/>
  <c r="AN49" i="12"/>
  <c r="AX49" i="12"/>
  <c r="Z99" i="12"/>
  <c r="AB99" i="12"/>
  <c r="AD99" i="12"/>
  <c r="AF99" i="12"/>
  <c r="AH99" i="12"/>
  <c r="AJ99" i="12"/>
  <c r="AD49" i="12"/>
  <c r="P99" i="12"/>
  <c r="AL99" i="12"/>
  <c r="P100" i="12"/>
  <c r="J100" i="12"/>
  <c r="AL50" i="12"/>
  <c r="X50" i="12"/>
  <c r="V50" i="12"/>
  <c r="AR50" i="12"/>
  <c r="V100" i="12"/>
  <c r="AT50" i="12"/>
  <c r="AP50" i="12"/>
  <c r="AZ50" i="12"/>
  <c r="L100" i="12"/>
  <c r="Z50" i="12"/>
  <c r="N100" i="12"/>
  <c r="AD50" i="12"/>
  <c r="R100" i="12"/>
  <c r="AJ50" i="12"/>
  <c r="AH50" i="12"/>
  <c r="AF50" i="12"/>
  <c r="T100" i="12"/>
  <c r="AV50" i="12"/>
  <c r="AX50" i="12"/>
  <c r="AF100" i="12"/>
  <c r="X100" i="12"/>
  <c r="AB50" i="12"/>
  <c r="AN50" i="12"/>
  <c r="AH100" i="12"/>
  <c r="AL100" i="12"/>
  <c r="Z100" i="12"/>
  <c r="AJ100" i="12"/>
  <c r="AB100" i="12"/>
  <c r="AD100" i="12"/>
  <c r="M42" i="23"/>
  <c r="O42" i="23"/>
  <c r="Q42" i="23"/>
  <c r="S42" i="23"/>
  <c r="U42" i="23"/>
  <c r="W42" i="23"/>
  <c r="Y42" i="23"/>
  <c r="AA42" i="23"/>
  <c r="AC42" i="23"/>
  <c r="AE42" i="23"/>
  <c r="AG42" i="23"/>
  <c r="AI42" i="23"/>
  <c r="AK42" i="23"/>
  <c r="O13" i="36"/>
  <c r="N12" i="36"/>
  <c r="AP11" i="36"/>
  <c r="X11" i="36"/>
  <c r="Z11" i="36"/>
  <c r="AB11" i="36"/>
  <c r="AD11" i="36"/>
  <c r="AF11" i="36"/>
  <c r="AH11" i="36"/>
  <c r="N61" i="36"/>
  <c r="AJ11" i="36"/>
  <c r="P61" i="36"/>
  <c r="AL11" i="36"/>
  <c r="R61" i="36"/>
  <c r="AN11" i="36"/>
  <c r="AR11" i="36"/>
  <c r="AX12" i="37"/>
  <c r="L62" i="37"/>
  <c r="AV12" i="37"/>
  <c r="AJ12" i="37"/>
  <c r="X12" i="37"/>
  <c r="AZ12" i="37"/>
  <c r="AL12" i="37"/>
  <c r="Z12" i="37"/>
  <c r="AP12" i="37"/>
  <c r="AN12" i="37"/>
  <c r="AH12" i="37"/>
  <c r="P62" i="37"/>
  <c r="AD12" i="37"/>
  <c r="R62" i="37"/>
  <c r="AF12" i="37"/>
  <c r="AT12" i="37"/>
  <c r="AR12" i="37"/>
  <c r="J62" i="37"/>
  <c r="Z15" i="37"/>
  <c r="AF15" i="37"/>
  <c r="L65" i="37"/>
  <c r="AV15" i="37"/>
  <c r="N65" i="37"/>
  <c r="AP15" i="37"/>
  <c r="AD15" i="37"/>
  <c r="AZ15" i="37"/>
  <c r="AX15" i="37"/>
  <c r="AJ15" i="37"/>
  <c r="P65" i="37"/>
  <c r="J65" i="37"/>
  <c r="AN15" i="37"/>
  <c r="AL15" i="37"/>
  <c r="AH15" i="37"/>
  <c r="R65" i="37"/>
  <c r="T65" i="37"/>
  <c r="R15" i="37"/>
  <c r="T14" i="37"/>
  <c r="O23" i="37"/>
  <c r="N22" i="37"/>
  <c r="AB12" i="37"/>
  <c r="X15" i="37"/>
  <c r="AB15" i="37"/>
  <c r="AR15" i="37"/>
  <c r="AB13" i="37"/>
  <c r="AT15" i="37"/>
  <c r="N62" i="37"/>
  <c r="AF13" i="37"/>
  <c r="AP13" i="37"/>
  <c r="P63" i="37"/>
  <c r="AR13" i="37"/>
  <c r="AD13" i="37"/>
  <c r="AZ13" i="37"/>
  <c r="AL13" i="37"/>
  <c r="Z13" i="37"/>
  <c r="L63" i="37"/>
  <c r="X13" i="37"/>
  <c r="J63" i="37"/>
  <c r="T63" i="37"/>
  <c r="R63" i="37"/>
  <c r="N63" i="37"/>
  <c r="AX13" i="37"/>
  <c r="AV13" i="37"/>
  <c r="AJ13" i="37"/>
  <c r="AN13" i="37"/>
  <c r="AT13" i="37"/>
  <c r="B14" i="37"/>
  <c r="B63" i="37"/>
  <c r="N18" i="37"/>
  <c r="T12" i="37"/>
  <c r="F16" i="37"/>
  <c r="F65" i="37"/>
  <c r="AR11" i="37"/>
  <c r="AF11" i="37"/>
  <c r="AZ11" i="37"/>
  <c r="AN11" i="37"/>
  <c r="J61" i="37"/>
  <c r="AB11" i="37"/>
  <c r="L61" i="37"/>
  <c r="AV11" i="37"/>
  <c r="AX11" i="37"/>
  <c r="R61" i="37"/>
  <c r="AT11" i="37"/>
  <c r="P61" i="37"/>
  <c r="AP11" i="37"/>
  <c r="N61" i="37"/>
  <c r="AL11" i="37"/>
  <c r="AD11" i="37"/>
  <c r="Z11" i="37"/>
  <c r="X11" i="37"/>
  <c r="N20" i="37"/>
  <c r="N17" i="37"/>
  <c r="N14" i="37"/>
  <c r="T64" i="37"/>
  <c r="V56" i="37"/>
  <c r="T61" i="37"/>
  <c r="T67" i="37"/>
  <c r="T62" i="37"/>
  <c r="T72" i="37"/>
  <c r="N16" i="37"/>
  <c r="N19" i="37"/>
  <c r="N21" i="37"/>
  <c r="T71" i="37"/>
  <c r="T13" i="36"/>
  <c r="R16" i="36"/>
  <c r="T15" i="36"/>
  <c r="F63" i="36"/>
  <c r="F14" i="36"/>
  <c r="N13" i="36"/>
  <c r="T63" i="36"/>
  <c r="O14" i="36"/>
  <c r="T62" i="36"/>
  <c r="V56" i="36"/>
  <c r="T61" i="36"/>
  <c r="B65" i="36"/>
  <c r="B16" i="36"/>
  <c r="B64" i="36"/>
  <c r="J61" i="36"/>
  <c r="P61" i="12"/>
  <c r="P102" i="12"/>
  <c r="L61" i="12"/>
  <c r="L102" i="12"/>
  <c r="AL61" i="12"/>
  <c r="AL102" i="12"/>
  <c r="F65" i="12"/>
  <c r="F16" i="12"/>
  <c r="R22" i="12"/>
  <c r="T21" i="12"/>
  <c r="AD102" i="12"/>
  <c r="T20" i="12"/>
  <c r="AZ52" i="12"/>
  <c r="AK17" i="30"/>
  <c r="AK17" i="23"/>
  <c r="AC34" i="30"/>
  <c r="AC34" i="23"/>
  <c r="X11" i="12"/>
  <c r="V61" i="12"/>
  <c r="V102" i="12"/>
  <c r="AR11" i="12"/>
  <c r="AR52" i="12"/>
  <c r="X61" i="12"/>
  <c r="X102" i="12"/>
  <c r="AF11" i="12"/>
  <c r="AF52" i="12"/>
  <c r="AJ61" i="12"/>
  <c r="AJ102" i="12"/>
  <c r="AF61" i="12"/>
  <c r="AF102" i="12"/>
  <c r="AH11" i="12"/>
  <c r="AH52" i="12"/>
  <c r="AJ11" i="12"/>
  <c r="AJ52" i="12"/>
  <c r="AV11" i="12"/>
  <c r="AV52" i="12"/>
  <c r="AX11" i="12"/>
  <c r="AX52" i="12"/>
  <c r="AB11" i="12"/>
  <c r="AB52" i="12"/>
  <c r="AL11" i="12"/>
  <c r="AL52" i="12"/>
  <c r="N61" i="12"/>
  <c r="N102" i="12"/>
  <c r="AP11" i="12"/>
  <c r="AP52" i="12"/>
  <c r="Z61" i="12"/>
  <c r="Z102" i="12"/>
  <c r="Z11" i="12"/>
  <c r="Z52" i="12"/>
  <c r="AB61" i="12"/>
  <c r="AB102" i="12"/>
  <c r="AT11" i="12"/>
  <c r="AT52" i="12"/>
  <c r="T61" i="12"/>
  <c r="T102" i="12"/>
  <c r="AN11" i="12"/>
  <c r="AN52" i="12"/>
  <c r="R61" i="12"/>
  <c r="R102" i="12"/>
  <c r="AD11" i="12"/>
  <c r="AD52" i="12"/>
  <c r="AH61" i="12"/>
  <c r="AH102" i="12"/>
  <c r="J61" i="12"/>
  <c r="J102" i="12"/>
  <c r="AN12" i="36"/>
  <c r="AJ12" i="36"/>
  <c r="AH12" i="36"/>
  <c r="AF12" i="36"/>
  <c r="AD12" i="36"/>
  <c r="AB12" i="36"/>
  <c r="Z12" i="36"/>
  <c r="X12" i="36"/>
  <c r="AP12" i="36"/>
  <c r="AL12" i="36"/>
  <c r="L62" i="36"/>
  <c r="AZ12" i="36"/>
  <c r="AR12" i="36"/>
  <c r="N62" i="36"/>
  <c r="AT12" i="36"/>
  <c r="P62" i="36"/>
  <c r="AV12" i="36"/>
  <c r="R62" i="36"/>
  <c r="J62" i="36"/>
  <c r="AX12" i="36"/>
  <c r="F17" i="37"/>
  <c r="F66" i="37"/>
  <c r="J70" i="37"/>
  <c r="Z20" i="37"/>
  <c r="AR20" i="37"/>
  <c r="AF20" i="37"/>
  <c r="P70" i="37"/>
  <c r="N70" i="37"/>
  <c r="AX20" i="37"/>
  <c r="L70" i="37"/>
  <c r="AL20" i="37"/>
  <c r="AP20" i="37"/>
  <c r="AN20" i="37"/>
  <c r="AJ20" i="37"/>
  <c r="AH20" i="37"/>
  <c r="AD20" i="37"/>
  <c r="AB20" i="37"/>
  <c r="R70" i="37"/>
  <c r="AV20" i="37"/>
  <c r="AT20" i="37"/>
  <c r="X20" i="37"/>
  <c r="AZ20" i="37"/>
  <c r="AP18" i="37"/>
  <c r="AR18" i="37"/>
  <c r="J68" i="37"/>
  <c r="AD18" i="37"/>
  <c r="AV18" i="37"/>
  <c r="AH18" i="37"/>
  <c r="AF18" i="37"/>
  <c r="AB18" i="37"/>
  <c r="AZ18" i="37"/>
  <c r="R68" i="37"/>
  <c r="AT18" i="37"/>
  <c r="P68" i="37"/>
  <c r="AN18" i="37"/>
  <c r="N68" i="37"/>
  <c r="AL18" i="37"/>
  <c r="L68" i="37"/>
  <c r="Z18" i="37"/>
  <c r="AJ18" i="37"/>
  <c r="AX18" i="37"/>
  <c r="T68" i="37"/>
  <c r="X18" i="37"/>
  <c r="B15" i="37"/>
  <c r="B64" i="37"/>
  <c r="R16" i="37"/>
  <c r="T15" i="37"/>
  <c r="V68" i="37"/>
  <c r="X56" i="37"/>
  <c r="V66" i="37"/>
  <c r="V72" i="37"/>
  <c r="V61" i="37"/>
  <c r="V63" i="37"/>
  <c r="V70" i="37"/>
  <c r="V64" i="37"/>
  <c r="V65" i="37"/>
  <c r="V62" i="37"/>
  <c r="V73" i="37"/>
  <c r="V67" i="37"/>
  <c r="V69" i="37"/>
  <c r="V71" i="37"/>
  <c r="AH19" i="37"/>
  <c r="AX19" i="37"/>
  <c r="AL19" i="37"/>
  <c r="L69" i="37"/>
  <c r="X19" i="37"/>
  <c r="R69" i="37"/>
  <c r="P69" i="37"/>
  <c r="AV19" i="37"/>
  <c r="AJ19" i="37"/>
  <c r="J69" i="37"/>
  <c r="AT19" i="37"/>
  <c r="AR19" i="37"/>
  <c r="AB19" i="37"/>
  <c r="T69" i="37"/>
  <c r="N69" i="37"/>
  <c r="AF19" i="37"/>
  <c r="AZ19" i="37"/>
  <c r="AP19" i="37"/>
  <c r="AN19" i="37"/>
  <c r="AD19" i="37"/>
  <c r="Z19" i="37"/>
  <c r="N23" i="37"/>
  <c r="O24" i="37"/>
  <c r="T70" i="37"/>
  <c r="AH14" i="37"/>
  <c r="AL14" i="37"/>
  <c r="X14" i="37"/>
  <c r="P64" i="37"/>
  <c r="N64" i="37"/>
  <c r="AZ14" i="37"/>
  <c r="AP14" i="37"/>
  <c r="AB14" i="37"/>
  <c r="AN14" i="37"/>
  <c r="AJ14" i="37"/>
  <c r="J64" i="37"/>
  <c r="AR14" i="37"/>
  <c r="AF14" i="37"/>
  <c r="AD14" i="37"/>
  <c r="Z14" i="37"/>
  <c r="AX14" i="37"/>
  <c r="AV14" i="37"/>
  <c r="AT14" i="37"/>
  <c r="R64" i="37"/>
  <c r="L64" i="37"/>
  <c r="L71" i="37"/>
  <c r="AL21" i="37"/>
  <c r="Z21" i="37"/>
  <c r="AX21" i="37"/>
  <c r="N71" i="37"/>
  <c r="AN21" i="37"/>
  <c r="AZ21" i="37"/>
  <c r="AT21" i="37"/>
  <c r="AV21" i="37"/>
  <c r="AP21" i="37"/>
  <c r="AJ21" i="37"/>
  <c r="AH21" i="37"/>
  <c r="R71" i="37"/>
  <c r="AB21" i="37"/>
  <c r="P71" i="37"/>
  <c r="X21" i="37"/>
  <c r="J71" i="37"/>
  <c r="AD21" i="37"/>
  <c r="AF21" i="37"/>
  <c r="AR21" i="37"/>
  <c r="Z16" i="37"/>
  <c r="P66" i="37"/>
  <c r="AP16" i="37"/>
  <c r="AR16" i="37"/>
  <c r="J66" i="37"/>
  <c r="AF16" i="37"/>
  <c r="L66" i="37"/>
  <c r="AV16" i="37"/>
  <c r="T66" i="37"/>
  <c r="AT16" i="37"/>
  <c r="AD16" i="37"/>
  <c r="AN16" i="37"/>
  <c r="AH16" i="37"/>
  <c r="AL16" i="37"/>
  <c r="AJ16" i="37"/>
  <c r="X16" i="37"/>
  <c r="AZ16" i="37"/>
  <c r="AX16" i="37"/>
  <c r="N66" i="37"/>
  <c r="AB16" i="37"/>
  <c r="R66" i="37"/>
  <c r="AX17" i="37"/>
  <c r="R67" i="37"/>
  <c r="AV17" i="37"/>
  <c r="AJ17" i="37"/>
  <c r="AR17" i="37"/>
  <c r="AF17" i="37"/>
  <c r="N67" i="37"/>
  <c r="AN17" i="37"/>
  <c r="AL17" i="37"/>
  <c r="AH17" i="37"/>
  <c r="AD17" i="37"/>
  <c r="X17" i="37"/>
  <c r="P67" i="37"/>
  <c r="L67" i="37"/>
  <c r="J67" i="37"/>
  <c r="AP17" i="37"/>
  <c r="AB17" i="37"/>
  <c r="AZ17" i="37"/>
  <c r="AT17" i="37"/>
  <c r="Z17" i="37"/>
  <c r="N72" i="37"/>
  <c r="AX22" i="37"/>
  <c r="AF22" i="37"/>
  <c r="AV22" i="37"/>
  <c r="AN22" i="37"/>
  <c r="X22" i="37"/>
  <c r="J72" i="37"/>
  <c r="R72" i="37"/>
  <c r="P72" i="37"/>
  <c r="L72" i="37"/>
  <c r="AT22" i="37"/>
  <c r="AR22" i="37"/>
  <c r="AP22" i="37"/>
  <c r="AZ22" i="37"/>
  <c r="AL22" i="37"/>
  <c r="AJ22" i="37"/>
  <c r="AH22" i="37"/>
  <c r="AD22" i="37"/>
  <c r="AB22" i="37"/>
  <c r="Z22" i="37"/>
  <c r="V63" i="36"/>
  <c r="V61" i="36"/>
  <c r="V64" i="36"/>
  <c r="X56" i="36"/>
  <c r="V62" i="36"/>
  <c r="N14" i="36"/>
  <c r="O15" i="36"/>
  <c r="AP13" i="36"/>
  <c r="L63" i="36"/>
  <c r="AR13" i="36"/>
  <c r="AN13" i="36"/>
  <c r="AL13" i="36"/>
  <c r="P63" i="36"/>
  <c r="R63" i="36"/>
  <c r="N63" i="36"/>
  <c r="J63" i="36"/>
  <c r="AX13" i="36"/>
  <c r="AV13" i="36"/>
  <c r="AT13" i="36"/>
  <c r="AH13" i="36"/>
  <c r="AJ13" i="36"/>
  <c r="AF13" i="36"/>
  <c r="AD13" i="36"/>
  <c r="AZ13" i="36"/>
  <c r="AB13" i="36"/>
  <c r="X13" i="36"/>
  <c r="Z13" i="36"/>
  <c r="F15" i="36"/>
  <c r="F64" i="36"/>
  <c r="B66" i="36"/>
  <c r="B17" i="36"/>
  <c r="R17" i="36"/>
  <c r="T16" i="36"/>
  <c r="O34" i="23"/>
  <c r="O34" i="30"/>
  <c r="K34" i="30"/>
  <c r="K34" i="23"/>
  <c r="AK34" i="30"/>
  <c r="AK34" i="23"/>
  <c r="F66" i="12"/>
  <c r="F17" i="12"/>
  <c r="R23" i="12"/>
  <c r="T22" i="12"/>
  <c r="M17" i="23"/>
  <c r="M17" i="30"/>
  <c r="AI34" i="30"/>
  <c r="AI34" i="23"/>
  <c r="Q17" i="23"/>
  <c r="Q17" i="30"/>
  <c r="AI17" i="23"/>
  <c r="AI17" i="30"/>
  <c r="AG17" i="30"/>
  <c r="AG17" i="23"/>
  <c r="U17" i="30"/>
  <c r="U17" i="23"/>
  <c r="AE34" i="30"/>
  <c r="AE34" i="23"/>
  <c r="AG34" i="23"/>
  <c r="AG34" i="30"/>
  <c r="W34" i="23"/>
  <c r="W34" i="30"/>
  <c r="Q34" i="23"/>
  <c r="Q34" i="30"/>
  <c r="U34" i="23"/>
  <c r="U34" i="30"/>
  <c r="AE17" i="30"/>
  <c r="AE17" i="23"/>
  <c r="AA34" i="23"/>
  <c r="AA34" i="30"/>
  <c r="S17" i="23"/>
  <c r="S17" i="30"/>
  <c r="I34" i="30"/>
  <c r="I34" i="23"/>
  <c r="O17" i="23"/>
  <c r="O17" i="30"/>
  <c r="AC17" i="30"/>
  <c r="AC17" i="23"/>
  <c r="Y17" i="23"/>
  <c r="Y17" i="30"/>
  <c r="S34" i="23"/>
  <c r="S34" i="30"/>
  <c r="X52" i="12"/>
  <c r="V11" i="12"/>
  <c r="V52" i="12"/>
  <c r="B4" i="5"/>
  <c r="K17" i="30"/>
  <c r="K17" i="23"/>
  <c r="Y34" i="23"/>
  <c r="Y34" i="30"/>
  <c r="AA17" i="30"/>
  <c r="AA17" i="23"/>
  <c r="M34" i="30"/>
  <c r="M34" i="23"/>
  <c r="W17" i="23"/>
  <c r="W17" i="30"/>
  <c r="R17" i="37"/>
  <c r="T16" i="37"/>
  <c r="X65" i="37"/>
  <c r="X69" i="37"/>
  <c r="X72" i="37"/>
  <c r="X61" i="37"/>
  <c r="Z56" i="37"/>
  <c r="X74" i="37"/>
  <c r="X71" i="37"/>
  <c r="X64" i="37"/>
  <c r="X68" i="37"/>
  <c r="X70" i="37"/>
  <c r="X66" i="37"/>
  <c r="X62" i="37"/>
  <c r="X63" i="37"/>
  <c r="X67" i="37"/>
  <c r="X73" i="37"/>
  <c r="B16" i="37"/>
  <c r="B65" i="37"/>
  <c r="O25" i="37"/>
  <c r="N24" i="37"/>
  <c r="F67" i="37"/>
  <c r="F18" i="37"/>
  <c r="P73" i="37"/>
  <c r="AP23" i="37"/>
  <c r="J73" i="37"/>
  <c r="Z23" i="37"/>
  <c r="AR23" i="37"/>
  <c r="N73" i="37"/>
  <c r="L73" i="37"/>
  <c r="AN23" i="37"/>
  <c r="AH23" i="37"/>
  <c r="AF23" i="37"/>
  <c r="AJ23" i="37"/>
  <c r="AD23" i="37"/>
  <c r="AB23" i="37"/>
  <c r="X23" i="37"/>
  <c r="AZ23" i="37"/>
  <c r="AX23" i="37"/>
  <c r="AL23" i="37"/>
  <c r="AV23" i="37"/>
  <c r="AT23" i="37"/>
  <c r="T73" i="37"/>
  <c r="R73" i="37"/>
  <c r="T17" i="36"/>
  <c r="R18" i="36"/>
  <c r="B67" i="36"/>
  <c r="B18" i="36"/>
  <c r="X63" i="36"/>
  <c r="Z56" i="36"/>
  <c r="X64" i="36"/>
  <c r="X61" i="36"/>
  <c r="X62" i="36"/>
  <c r="F65" i="36"/>
  <c r="F16" i="36"/>
  <c r="N15" i="36"/>
  <c r="O16" i="36"/>
  <c r="AH14" i="36"/>
  <c r="N64" i="36"/>
  <c r="AL14" i="36"/>
  <c r="AJ14" i="36"/>
  <c r="AF14" i="36"/>
  <c r="AV14" i="36"/>
  <c r="AZ14" i="36"/>
  <c r="AX14" i="36"/>
  <c r="R64" i="36"/>
  <c r="Z14" i="36"/>
  <c r="P64" i="36"/>
  <c r="X14" i="36"/>
  <c r="L64" i="36"/>
  <c r="J64" i="36"/>
  <c r="AT14" i="36"/>
  <c r="AB14" i="36"/>
  <c r="T64" i="36"/>
  <c r="AR14" i="36"/>
  <c r="AP14" i="36"/>
  <c r="AD14" i="36"/>
  <c r="AN14" i="36"/>
  <c r="F67" i="12"/>
  <c r="F18" i="12"/>
  <c r="T23" i="12"/>
  <c r="R24" i="12"/>
  <c r="B12" i="5"/>
  <c r="I17" i="30"/>
  <c r="I20" i="30"/>
  <c r="K13" i="30"/>
  <c r="I17" i="23"/>
  <c r="O26" i="37"/>
  <c r="N25" i="37"/>
  <c r="F68" i="37"/>
  <c r="F19" i="37"/>
  <c r="B66" i="37"/>
  <c r="B17" i="37"/>
  <c r="Z74" i="37"/>
  <c r="Z70" i="37"/>
  <c r="Z65" i="37"/>
  <c r="Z71" i="37"/>
  <c r="Z72" i="37"/>
  <c r="Z64" i="37"/>
  <c r="Z61" i="37"/>
  <c r="Z67" i="37"/>
  <c r="Z68" i="37"/>
  <c r="Z66" i="37"/>
  <c r="Z73" i="37"/>
  <c r="Z62" i="37"/>
  <c r="AB56" i="37"/>
  <c r="Z63" i="37"/>
  <c r="Z69" i="37"/>
  <c r="R74" i="37"/>
  <c r="AH24" i="37"/>
  <c r="N74" i="37"/>
  <c r="AX24" i="37"/>
  <c r="AL24" i="37"/>
  <c r="J74" i="37"/>
  <c r="AR24" i="37"/>
  <c r="P74" i="37"/>
  <c r="AV24" i="37"/>
  <c r="L74" i="37"/>
  <c r="AT24" i="37"/>
  <c r="AD24" i="37"/>
  <c r="AP24" i="37"/>
  <c r="AZ24" i="37"/>
  <c r="AJ24" i="37"/>
  <c r="AF24" i="37"/>
  <c r="T74" i="37"/>
  <c r="AB24" i="37"/>
  <c r="Z24" i="37"/>
  <c r="X24" i="37"/>
  <c r="AN24" i="37"/>
  <c r="V74" i="37"/>
  <c r="T17" i="37"/>
  <c r="R18" i="37"/>
  <c r="Z64" i="36"/>
  <c r="Z63" i="36"/>
  <c r="AB56" i="36"/>
  <c r="Z66" i="36"/>
  <c r="Z61" i="36"/>
  <c r="Z65" i="36"/>
  <c r="Z62" i="36"/>
  <c r="Z15" i="36"/>
  <c r="P65" i="36"/>
  <c r="AF15" i="36"/>
  <c r="AD15" i="36"/>
  <c r="AB15" i="36"/>
  <c r="J65" i="36"/>
  <c r="AX15" i="36"/>
  <c r="AJ15" i="36"/>
  <c r="X15" i="36"/>
  <c r="AV15" i="36"/>
  <c r="AL15" i="36"/>
  <c r="AT15" i="36"/>
  <c r="AR15" i="36"/>
  <c r="AH15" i="36"/>
  <c r="AP15" i="36"/>
  <c r="AN15" i="36"/>
  <c r="T65" i="36"/>
  <c r="R65" i="36"/>
  <c r="N65" i="36"/>
  <c r="AZ15" i="36"/>
  <c r="L65" i="36"/>
  <c r="V65" i="36"/>
  <c r="F66" i="36"/>
  <c r="F17" i="36"/>
  <c r="B19" i="36"/>
  <c r="B68" i="36"/>
  <c r="R19" i="36"/>
  <c r="T18" i="36"/>
  <c r="X65" i="36"/>
  <c r="O17" i="36"/>
  <c r="N16" i="36"/>
  <c r="F68" i="12"/>
  <c r="F19" i="12"/>
  <c r="R25" i="12"/>
  <c r="T24" i="12"/>
  <c r="W47" i="23"/>
  <c r="S47" i="23"/>
  <c r="C7" i="34"/>
  <c r="I20" i="23"/>
  <c r="K16" i="30"/>
  <c r="K20" i="30"/>
  <c r="M13" i="30"/>
  <c r="C7" i="5"/>
  <c r="C5" i="5"/>
  <c r="C9" i="5"/>
  <c r="C10" i="5"/>
  <c r="C11" i="5"/>
  <c r="C8" i="5"/>
  <c r="C6" i="5"/>
  <c r="C4" i="5"/>
  <c r="C12" i="5"/>
  <c r="F69" i="37"/>
  <c r="F20" i="37"/>
  <c r="AB66" i="37"/>
  <c r="AB70" i="37"/>
  <c r="AB73" i="37"/>
  <c r="AB62" i="37"/>
  <c r="AB65" i="37"/>
  <c r="AB63" i="37"/>
  <c r="AB72" i="37"/>
  <c r="AB64" i="37"/>
  <c r="AB61" i="37"/>
  <c r="AB67" i="37"/>
  <c r="AB68" i="37"/>
  <c r="AD56" i="37"/>
  <c r="AB74" i="37"/>
  <c r="AB75" i="37"/>
  <c r="AB71" i="37"/>
  <c r="AB69" i="37"/>
  <c r="Z25" i="37"/>
  <c r="R75" i="37"/>
  <c r="AR25" i="37"/>
  <c r="AF25" i="37"/>
  <c r="J75" i="37"/>
  <c r="AT25" i="37"/>
  <c r="AP25" i="37"/>
  <c r="AZ25" i="37"/>
  <c r="AL25" i="37"/>
  <c r="AN25" i="37"/>
  <c r="AX25" i="37"/>
  <c r="AV25" i="37"/>
  <c r="AH25" i="37"/>
  <c r="AD25" i="37"/>
  <c r="AB25" i="37"/>
  <c r="AJ25" i="37"/>
  <c r="X25" i="37"/>
  <c r="P75" i="37"/>
  <c r="N75" i="37"/>
  <c r="L75" i="37"/>
  <c r="T75" i="37"/>
  <c r="V75" i="37"/>
  <c r="X75" i="37"/>
  <c r="Z75" i="37"/>
  <c r="B67" i="37"/>
  <c r="B18" i="37"/>
  <c r="O27" i="37"/>
  <c r="N26" i="37"/>
  <c r="R19" i="37"/>
  <c r="T18" i="37"/>
  <c r="R20" i="36"/>
  <c r="T19" i="36"/>
  <c r="B69" i="36"/>
  <c r="B20" i="36"/>
  <c r="F67" i="36"/>
  <c r="F18" i="36"/>
  <c r="R66" i="36"/>
  <c r="Z16" i="36"/>
  <c r="X16" i="36"/>
  <c r="N66" i="36"/>
  <c r="J66" i="36"/>
  <c r="L66" i="36"/>
  <c r="AB16" i="36"/>
  <c r="AX16" i="36"/>
  <c r="AT16" i="36"/>
  <c r="AR16" i="36"/>
  <c r="AZ16" i="36"/>
  <c r="AV16" i="36"/>
  <c r="AP16" i="36"/>
  <c r="P66" i="36"/>
  <c r="AN16" i="36"/>
  <c r="AJ16" i="36"/>
  <c r="AF16" i="36"/>
  <c r="AL16" i="36"/>
  <c r="AH16" i="36"/>
  <c r="AD16" i="36"/>
  <c r="T66" i="36"/>
  <c r="V66" i="36"/>
  <c r="X66" i="36"/>
  <c r="O18" i="36"/>
  <c r="N17" i="36"/>
  <c r="AB64" i="36"/>
  <c r="AD56" i="36"/>
  <c r="AB66" i="36"/>
  <c r="AB61" i="36"/>
  <c r="AB65" i="36"/>
  <c r="AB63" i="36"/>
  <c r="AB62" i="36"/>
  <c r="AA47" i="23"/>
  <c r="F69" i="12"/>
  <c r="F20" i="12"/>
  <c r="T25" i="12"/>
  <c r="R26" i="12"/>
  <c r="M16" i="30"/>
  <c r="M20" i="30"/>
  <c r="O13" i="30"/>
  <c r="C9" i="34"/>
  <c r="K13" i="23"/>
  <c r="AD67" i="37"/>
  <c r="AD70" i="37"/>
  <c r="AD68" i="37"/>
  <c r="AD61" i="37"/>
  <c r="AD76" i="37"/>
  <c r="AF56" i="37"/>
  <c r="AD64" i="37"/>
  <c r="AD62" i="37"/>
  <c r="AD65" i="37"/>
  <c r="AD73" i="37"/>
  <c r="AD63" i="37"/>
  <c r="AD72" i="37"/>
  <c r="AD71" i="37"/>
  <c r="AD66" i="37"/>
  <c r="AD75" i="37"/>
  <c r="AD69" i="37"/>
  <c r="AD74" i="37"/>
  <c r="R20" i="37"/>
  <c r="T19" i="37"/>
  <c r="O28" i="37"/>
  <c r="N27" i="37"/>
  <c r="AX26" i="37"/>
  <c r="J76" i="37"/>
  <c r="AL26" i="37"/>
  <c r="Z26" i="37"/>
  <c r="X26" i="37"/>
  <c r="AT26" i="37"/>
  <c r="AJ26" i="37"/>
  <c r="AH26" i="37"/>
  <c r="AF26" i="37"/>
  <c r="AB26" i="37"/>
  <c r="AD26" i="37"/>
  <c r="R76" i="37"/>
  <c r="P76" i="37"/>
  <c r="L76" i="37"/>
  <c r="N76" i="37"/>
  <c r="AZ26" i="37"/>
  <c r="AV26" i="37"/>
  <c r="AR26" i="37"/>
  <c r="AP26" i="37"/>
  <c r="AN26" i="37"/>
  <c r="T76" i="37"/>
  <c r="V76" i="37"/>
  <c r="X76" i="37"/>
  <c r="Z76" i="37"/>
  <c r="B19" i="37"/>
  <c r="B68" i="37"/>
  <c r="F21" i="37"/>
  <c r="F70" i="37"/>
  <c r="AB76" i="37"/>
  <c r="AD64" i="36"/>
  <c r="AF56" i="36"/>
  <c r="AD66" i="36"/>
  <c r="AD61" i="36"/>
  <c r="AD65" i="36"/>
  <c r="AD63" i="36"/>
  <c r="AD67" i="36"/>
  <c r="AD62" i="36"/>
  <c r="F68" i="36"/>
  <c r="F19" i="36"/>
  <c r="B70" i="36"/>
  <c r="B21" i="36"/>
  <c r="AX17" i="36"/>
  <c r="R67" i="36"/>
  <c r="P67" i="36"/>
  <c r="N67" i="36"/>
  <c r="AF17" i="36"/>
  <c r="AD17" i="36"/>
  <c r="AB17" i="36"/>
  <c r="Z17" i="36"/>
  <c r="X17" i="36"/>
  <c r="AL17" i="36"/>
  <c r="AJ17" i="36"/>
  <c r="AH17" i="36"/>
  <c r="J67" i="36"/>
  <c r="AV17" i="36"/>
  <c r="AT17" i="36"/>
  <c r="AR17" i="36"/>
  <c r="AP17" i="36"/>
  <c r="L67" i="36"/>
  <c r="AN17" i="36"/>
  <c r="AZ17" i="36"/>
  <c r="T67" i="36"/>
  <c r="V67" i="36"/>
  <c r="X67" i="36"/>
  <c r="Z67" i="36"/>
  <c r="O19" i="36"/>
  <c r="N18" i="36"/>
  <c r="AD68" i="36"/>
  <c r="R21" i="36"/>
  <c r="T20" i="36"/>
  <c r="AB67" i="36"/>
  <c r="F70" i="12"/>
  <c r="F21" i="12"/>
  <c r="T26" i="12"/>
  <c r="R27" i="12"/>
  <c r="O16" i="30"/>
  <c r="O20" i="30"/>
  <c r="Q13" i="30"/>
  <c r="K16" i="23"/>
  <c r="K20" i="23"/>
  <c r="M13" i="23"/>
  <c r="O29" i="37"/>
  <c r="N28" i="37"/>
  <c r="AF61" i="37"/>
  <c r="AF78" i="37"/>
  <c r="AF71" i="37"/>
  <c r="AF74" i="37"/>
  <c r="AF63" i="37"/>
  <c r="AF67" i="37"/>
  <c r="AF62" i="37"/>
  <c r="AF76" i="37"/>
  <c r="AF68" i="37"/>
  <c r="AF70" i="37"/>
  <c r="AH56" i="37"/>
  <c r="AF72" i="37"/>
  <c r="AF66" i="37"/>
  <c r="AF64" i="37"/>
  <c r="AF65" i="37"/>
  <c r="AF73" i="37"/>
  <c r="AF75" i="37"/>
  <c r="AF69" i="37"/>
  <c r="AF77" i="37"/>
  <c r="R21" i="37"/>
  <c r="T20" i="37"/>
  <c r="B69" i="37"/>
  <c r="B20" i="37"/>
  <c r="AX27" i="37"/>
  <c r="AR27" i="37"/>
  <c r="N77" i="37"/>
  <c r="AF27" i="37"/>
  <c r="J77" i="37"/>
  <c r="Z27" i="37"/>
  <c r="X27" i="37"/>
  <c r="AV27" i="37"/>
  <c r="AD27" i="37"/>
  <c r="AB27" i="37"/>
  <c r="L77" i="37"/>
  <c r="AT27" i="37"/>
  <c r="AZ27" i="37"/>
  <c r="AN27" i="37"/>
  <c r="AL27" i="37"/>
  <c r="AJ27" i="37"/>
  <c r="T77" i="37"/>
  <c r="R77" i="37"/>
  <c r="P77" i="37"/>
  <c r="AP27" i="37"/>
  <c r="AH27" i="37"/>
  <c r="V77" i="37"/>
  <c r="X77" i="37"/>
  <c r="Z77" i="37"/>
  <c r="AB77" i="37"/>
  <c r="AD77" i="37"/>
  <c r="F71" i="37"/>
  <c r="F22" i="37"/>
  <c r="AF61" i="36"/>
  <c r="AF65" i="36"/>
  <c r="AF68" i="36"/>
  <c r="AF64" i="36"/>
  <c r="AF66" i="36"/>
  <c r="AF69" i="36"/>
  <c r="AF63" i="36"/>
  <c r="AH56" i="36"/>
  <c r="AF67" i="36"/>
  <c r="AF62" i="36"/>
  <c r="B71" i="36"/>
  <c r="B22" i="36"/>
  <c r="F20" i="36"/>
  <c r="F69" i="36"/>
  <c r="T21" i="36"/>
  <c r="R22" i="36"/>
  <c r="AP18" i="36"/>
  <c r="J68" i="36"/>
  <c r="AZ18" i="36"/>
  <c r="P68" i="36"/>
  <c r="AL18" i="36"/>
  <c r="AD18" i="36"/>
  <c r="N68" i="36"/>
  <c r="AJ18" i="36"/>
  <c r="L68" i="36"/>
  <c r="AH18" i="36"/>
  <c r="AF18" i="36"/>
  <c r="R68" i="36"/>
  <c r="Z18" i="36"/>
  <c r="X18" i="36"/>
  <c r="AX18" i="36"/>
  <c r="AR18" i="36"/>
  <c r="AN18" i="36"/>
  <c r="AB18" i="36"/>
  <c r="AV18" i="36"/>
  <c r="AT18" i="36"/>
  <c r="T68" i="36"/>
  <c r="V68" i="36"/>
  <c r="X68" i="36"/>
  <c r="Z68" i="36"/>
  <c r="AB68" i="36"/>
  <c r="N19" i="36"/>
  <c r="O20" i="36"/>
  <c r="F22" i="12"/>
  <c r="F71" i="12"/>
  <c r="T27" i="12"/>
  <c r="R28" i="12"/>
  <c r="M16" i="23"/>
  <c r="M20" i="23"/>
  <c r="O13" i="23"/>
  <c r="Q16" i="30"/>
  <c r="Q20" i="30"/>
  <c r="S13" i="30"/>
  <c r="AH62" i="37"/>
  <c r="AH68" i="37"/>
  <c r="AH79" i="37"/>
  <c r="AH75" i="37"/>
  <c r="AH66" i="37"/>
  <c r="AH61" i="37"/>
  <c r="AH76" i="37"/>
  <c r="AH72" i="37"/>
  <c r="AH77" i="37"/>
  <c r="AH67" i="37"/>
  <c r="AH70" i="37"/>
  <c r="AH78" i="37"/>
  <c r="AH73" i="37"/>
  <c r="AH65" i="37"/>
  <c r="AJ56" i="37"/>
  <c r="AH74" i="37"/>
  <c r="AH64" i="37"/>
  <c r="AH69" i="37"/>
  <c r="AH63" i="37"/>
  <c r="AH71" i="37"/>
  <c r="R22" i="37"/>
  <c r="T21" i="37"/>
  <c r="O30" i="37"/>
  <c r="N29" i="37"/>
  <c r="AP28" i="37"/>
  <c r="AL28" i="37"/>
  <c r="R78" i="37"/>
  <c r="Z28" i="37"/>
  <c r="AB28" i="37"/>
  <c r="X28" i="37"/>
  <c r="AX28" i="37"/>
  <c r="AR28" i="37"/>
  <c r="AN28" i="37"/>
  <c r="P78" i="37"/>
  <c r="N78" i="37"/>
  <c r="L78" i="37"/>
  <c r="AT28" i="37"/>
  <c r="AJ28" i="37"/>
  <c r="AD28" i="37"/>
  <c r="AH28" i="37"/>
  <c r="AF28" i="37"/>
  <c r="AZ28" i="37"/>
  <c r="AV28" i="37"/>
  <c r="J78" i="37"/>
  <c r="T78" i="37"/>
  <c r="V78" i="37"/>
  <c r="X78" i="37"/>
  <c r="Z78" i="37"/>
  <c r="AB78" i="37"/>
  <c r="AD78" i="37"/>
  <c r="F72" i="37"/>
  <c r="F23" i="37"/>
  <c r="B70" i="37"/>
  <c r="B21" i="37"/>
  <c r="T22" i="36"/>
  <c r="R23" i="36"/>
  <c r="F70" i="36"/>
  <c r="F21" i="36"/>
  <c r="AH62" i="36"/>
  <c r="AH65" i="36"/>
  <c r="AH64" i="36"/>
  <c r="AH69" i="36"/>
  <c r="AH61" i="36"/>
  <c r="AJ56" i="36"/>
  <c r="AH63" i="36"/>
  <c r="AH67" i="36"/>
  <c r="AH66" i="36"/>
  <c r="AH68" i="36"/>
  <c r="B23" i="36"/>
  <c r="B72" i="36"/>
  <c r="N20" i="36"/>
  <c r="O21" i="36"/>
  <c r="AH19" i="36"/>
  <c r="N69" i="36"/>
  <c r="AX19" i="36"/>
  <c r="L69" i="36"/>
  <c r="AV19" i="36"/>
  <c r="J69" i="36"/>
  <c r="AT19" i="36"/>
  <c r="AZ19" i="36"/>
  <c r="AR19" i="36"/>
  <c r="AP19" i="36"/>
  <c r="AL19" i="36"/>
  <c r="AN19" i="36"/>
  <c r="AJ19" i="36"/>
  <c r="AF19" i="36"/>
  <c r="AD19" i="36"/>
  <c r="T69" i="36"/>
  <c r="Z19" i="36"/>
  <c r="R69" i="36"/>
  <c r="X19" i="36"/>
  <c r="P69" i="36"/>
  <c r="AB19" i="36"/>
  <c r="V69" i="36"/>
  <c r="X69" i="36"/>
  <c r="Z69" i="36"/>
  <c r="AB69" i="36"/>
  <c r="AD69" i="36"/>
  <c r="F72" i="12"/>
  <c r="F23" i="12"/>
  <c r="R29" i="12"/>
  <c r="T28" i="12"/>
  <c r="S16" i="30"/>
  <c r="S20" i="30"/>
  <c r="U13" i="30"/>
  <c r="O16" i="23"/>
  <c r="O20" i="23"/>
  <c r="Q13" i="23"/>
  <c r="AJ63" i="37"/>
  <c r="AL56" i="37"/>
  <c r="AJ79" i="37"/>
  <c r="AJ69" i="37"/>
  <c r="AJ72" i="37"/>
  <c r="AJ75" i="37"/>
  <c r="AJ64" i="37"/>
  <c r="AJ66" i="37"/>
  <c r="AJ61" i="37"/>
  <c r="AJ73" i="37"/>
  <c r="AJ70" i="37"/>
  <c r="AJ80" i="37"/>
  <c r="AJ62" i="37"/>
  <c r="AJ68" i="37"/>
  <c r="AJ78" i="37"/>
  <c r="AJ76" i="37"/>
  <c r="AJ74" i="37"/>
  <c r="AJ67" i="37"/>
  <c r="AJ71" i="37"/>
  <c r="AJ77" i="37"/>
  <c r="AJ65" i="37"/>
  <c r="B71" i="37"/>
  <c r="B22" i="37"/>
  <c r="F24" i="37"/>
  <c r="F73" i="37"/>
  <c r="AH29" i="37"/>
  <c r="AF29" i="37"/>
  <c r="J79" i="37"/>
  <c r="AX29" i="37"/>
  <c r="AB29" i="37"/>
  <c r="Z29" i="37"/>
  <c r="R79" i="37"/>
  <c r="P79" i="37"/>
  <c r="AZ29" i="37"/>
  <c r="L79" i="37"/>
  <c r="AN29" i="37"/>
  <c r="AL29" i="37"/>
  <c r="AJ29" i="37"/>
  <c r="AD29" i="37"/>
  <c r="X29" i="37"/>
  <c r="T79" i="37"/>
  <c r="N79" i="37"/>
  <c r="AT29" i="37"/>
  <c r="AR29" i="37"/>
  <c r="AP29" i="37"/>
  <c r="AV29" i="37"/>
  <c r="V79" i="37"/>
  <c r="X79" i="37"/>
  <c r="Z79" i="37"/>
  <c r="AB79" i="37"/>
  <c r="AD79" i="37"/>
  <c r="AF79" i="37"/>
  <c r="T22" i="37"/>
  <c r="R23" i="37"/>
  <c r="O31" i="37"/>
  <c r="N30" i="37"/>
  <c r="B73" i="36"/>
  <c r="B24" i="36"/>
  <c r="F22" i="36"/>
  <c r="F71" i="36"/>
  <c r="O22" i="36"/>
  <c r="N21" i="36"/>
  <c r="J70" i="36"/>
  <c r="Z20" i="36"/>
  <c r="AR20" i="36"/>
  <c r="R70" i="36"/>
  <c r="AP20" i="36"/>
  <c r="P70" i="36"/>
  <c r="AN20" i="36"/>
  <c r="AX20" i="36"/>
  <c r="AZ20" i="36"/>
  <c r="AL20" i="36"/>
  <c r="X20" i="36"/>
  <c r="N70" i="36"/>
  <c r="L70" i="36"/>
  <c r="AJ20" i="36"/>
  <c r="AH20" i="36"/>
  <c r="AF20" i="36"/>
  <c r="AD20" i="36"/>
  <c r="AB20" i="36"/>
  <c r="AV20" i="36"/>
  <c r="AT20" i="36"/>
  <c r="T70" i="36"/>
  <c r="V70" i="36"/>
  <c r="X70" i="36"/>
  <c r="Z70" i="36"/>
  <c r="AB70" i="36"/>
  <c r="AD70" i="36"/>
  <c r="AF70" i="36"/>
  <c r="AJ63" i="36"/>
  <c r="AL56" i="36"/>
  <c r="AJ65" i="36"/>
  <c r="AJ64" i="36"/>
  <c r="AJ69" i="36"/>
  <c r="AJ71" i="36"/>
  <c r="AJ61" i="36"/>
  <c r="AJ67" i="36"/>
  <c r="AJ66" i="36"/>
  <c r="AJ70" i="36"/>
  <c r="AJ68" i="36"/>
  <c r="AJ62" i="36"/>
  <c r="R24" i="36"/>
  <c r="T23" i="36"/>
  <c r="AH70" i="36"/>
  <c r="F24" i="12"/>
  <c r="F73" i="12"/>
  <c r="T29" i="12"/>
  <c r="R30" i="12"/>
  <c r="Q16" i="23"/>
  <c r="Q20" i="23"/>
  <c r="S13" i="23"/>
  <c r="U16" i="30"/>
  <c r="U20" i="30"/>
  <c r="W13" i="30"/>
  <c r="T23" i="37"/>
  <c r="R24" i="37"/>
  <c r="F25" i="37"/>
  <c r="F74" i="37"/>
  <c r="V29" i="37"/>
  <c r="B72" i="37"/>
  <c r="B23" i="37"/>
  <c r="AL64" i="37"/>
  <c r="V14" i="37"/>
  <c r="AL61" i="37"/>
  <c r="AL75" i="37"/>
  <c r="V25" i="37"/>
  <c r="AL71" i="37"/>
  <c r="V21" i="37"/>
  <c r="AL72" i="37"/>
  <c r="V22" i="37"/>
  <c r="AL70" i="37"/>
  <c r="V20" i="37"/>
  <c r="AL80" i="37"/>
  <c r="AL68" i="37"/>
  <c r="V18" i="37"/>
  <c r="AL78" i="37"/>
  <c r="V28" i="37"/>
  <c r="AL76" i="37"/>
  <c r="V26" i="37"/>
  <c r="AL74" i="37"/>
  <c r="V24" i="37"/>
  <c r="AL66" i="37"/>
  <c r="V16" i="37"/>
  <c r="AL62" i="37"/>
  <c r="V12" i="37"/>
  <c r="AL79" i="37"/>
  <c r="AL67" i="37"/>
  <c r="V17" i="37"/>
  <c r="AL73" i="37"/>
  <c r="V23" i="37"/>
  <c r="AL69" i="37"/>
  <c r="V19" i="37"/>
  <c r="AL81" i="37"/>
  <c r="AL77" i="37"/>
  <c r="V27" i="37"/>
  <c r="AL63" i="37"/>
  <c r="V13" i="37"/>
  <c r="AL65" i="37"/>
  <c r="V15" i="37"/>
  <c r="Z30" i="37"/>
  <c r="AB30" i="37"/>
  <c r="N80" i="37"/>
  <c r="AR30" i="37"/>
  <c r="AF30" i="37"/>
  <c r="AD30" i="37"/>
  <c r="R80" i="37"/>
  <c r="AZ30" i="37"/>
  <c r="AV30" i="37"/>
  <c r="AX30" i="37"/>
  <c r="AP30" i="37"/>
  <c r="AT30" i="37"/>
  <c r="L80" i="37"/>
  <c r="AL30" i="37"/>
  <c r="J80" i="37"/>
  <c r="AJ30" i="37"/>
  <c r="AH30" i="37"/>
  <c r="X30" i="37"/>
  <c r="AN30" i="37"/>
  <c r="P80" i="37"/>
  <c r="T80" i="37"/>
  <c r="V80" i="37"/>
  <c r="X80" i="37"/>
  <c r="Z80" i="37"/>
  <c r="AB80" i="37"/>
  <c r="AD80" i="37"/>
  <c r="AF80" i="37"/>
  <c r="AH80" i="37"/>
  <c r="O32" i="37"/>
  <c r="N31" i="37"/>
  <c r="AL64" i="36"/>
  <c r="V14" i="36"/>
  <c r="AL66" i="36"/>
  <c r="V16" i="36"/>
  <c r="AL69" i="36"/>
  <c r="V19" i="36"/>
  <c r="AL61" i="36"/>
  <c r="AL71" i="36"/>
  <c r="AL62" i="36"/>
  <c r="V12" i="36"/>
  <c r="AL65" i="36"/>
  <c r="V15" i="36"/>
  <c r="AL67" i="36"/>
  <c r="V17" i="36"/>
  <c r="AL70" i="36"/>
  <c r="V20" i="36"/>
  <c r="AL68" i="36"/>
  <c r="V18" i="36"/>
  <c r="AL63" i="36"/>
  <c r="V13" i="36"/>
  <c r="T24" i="36"/>
  <c r="R25" i="36"/>
  <c r="L71" i="36"/>
  <c r="AL21" i="36"/>
  <c r="AJ21" i="36"/>
  <c r="AH21" i="36"/>
  <c r="R71" i="36"/>
  <c r="X21" i="36"/>
  <c r="N71" i="36"/>
  <c r="P71" i="36"/>
  <c r="J71" i="36"/>
  <c r="AT21" i="36"/>
  <c r="AR21" i="36"/>
  <c r="AP21" i="36"/>
  <c r="AN21" i="36"/>
  <c r="AV21" i="36"/>
  <c r="AF21" i="36"/>
  <c r="AZ21" i="36"/>
  <c r="AX21" i="36"/>
  <c r="AB21" i="36"/>
  <c r="Z21" i="36"/>
  <c r="AD21" i="36"/>
  <c r="T71" i="36"/>
  <c r="V71" i="36"/>
  <c r="X71" i="36"/>
  <c r="Z71" i="36"/>
  <c r="AB71" i="36"/>
  <c r="AD71" i="36"/>
  <c r="AF71" i="36"/>
  <c r="AH71" i="36"/>
  <c r="B74" i="36"/>
  <c r="B25" i="36"/>
  <c r="O23" i="36"/>
  <c r="N22" i="36"/>
  <c r="F23" i="36"/>
  <c r="F72" i="36"/>
  <c r="F74" i="12"/>
  <c r="F25" i="12"/>
  <c r="R31" i="12"/>
  <c r="T30" i="12"/>
  <c r="W16" i="30"/>
  <c r="W20" i="30"/>
  <c r="Y13" i="30"/>
  <c r="S16" i="23"/>
  <c r="S20" i="23"/>
  <c r="U13" i="23"/>
  <c r="V11" i="37"/>
  <c r="B24" i="37"/>
  <c r="B73" i="37"/>
  <c r="F26" i="37"/>
  <c r="F75" i="37"/>
  <c r="V30" i="37"/>
  <c r="T24" i="37"/>
  <c r="R25" i="37"/>
  <c r="N32" i="37"/>
  <c r="O33" i="37"/>
  <c r="AX31" i="37"/>
  <c r="R81" i="37"/>
  <c r="AL31" i="37"/>
  <c r="AF31" i="37"/>
  <c r="AD31" i="37"/>
  <c r="AZ31" i="37"/>
  <c r="AV31" i="37"/>
  <c r="AT31" i="37"/>
  <c r="AR31" i="37"/>
  <c r="AP31" i="37"/>
  <c r="P81" i="37"/>
  <c r="N81" i="37"/>
  <c r="T81" i="37"/>
  <c r="Z31" i="37"/>
  <c r="L81" i="37"/>
  <c r="AN31" i="37"/>
  <c r="J81" i="37"/>
  <c r="AJ31" i="37"/>
  <c r="AH31" i="37"/>
  <c r="AB31" i="37"/>
  <c r="X31" i="37"/>
  <c r="V81" i="37"/>
  <c r="X81" i="37"/>
  <c r="Z81" i="37"/>
  <c r="AB81" i="37"/>
  <c r="AD81" i="37"/>
  <c r="AF81" i="37"/>
  <c r="AH81" i="37"/>
  <c r="AJ81" i="37"/>
  <c r="N23" i="36"/>
  <c r="O24" i="36"/>
  <c r="B26" i="36"/>
  <c r="B75" i="36"/>
  <c r="V11" i="36"/>
  <c r="F24" i="36"/>
  <c r="F73" i="36"/>
  <c r="N72" i="36"/>
  <c r="AX22" i="36"/>
  <c r="AF22" i="36"/>
  <c r="AD22" i="36"/>
  <c r="AB22" i="36"/>
  <c r="X22" i="36"/>
  <c r="Z22" i="36"/>
  <c r="AJ22" i="36"/>
  <c r="R72" i="36"/>
  <c r="P72" i="36"/>
  <c r="L72" i="36"/>
  <c r="AH22" i="36"/>
  <c r="AN22" i="36"/>
  <c r="AZ22" i="36"/>
  <c r="AT22" i="36"/>
  <c r="AP22" i="36"/>
  <c r="AL22" i="36"/>
  <c r="J72" i="36"/>
  <c r="AV22" i="36"/>
  <c r="AR22" i="36"/>
  <c r="T72" i="36"/>
  <c r="V72" i="36"/>
  <c r="X72" i="36"/>
  <c r="Z72" i="36"/>
  <c r="AB72" i="36"/>
  <c r="AD72" i="36"/>
  <c r="AF72" i="36"/>
  <c r="AH72" i="36"/>
  <c r="AJ72" i="36"/>
  <c r="R26" i="36"/>
  <c r="T25" i="36"/>
  <c r="AL72" i="36"/>
  <c r="V21" i="36"/>
  <c r="F75" i="12"/>
  <c r="F26" i="12"/>
  <c r="T31" i="12"/>
  <c r="R32" i="12"/>
  <c r="U16" i="23"/>
  <c r="U20" i="23"/>
  <c r="W13" i="23"/>
  <c r="Y16" i="30"/>
  <c r="Y20" i="30"/>
  <c r="AA13" i="30"/>
  <c r="V31" i="37"/>
  <c r="O34" i="37"/>
  <c r="N33" i="37"/>
  <c r="R26" i="37"/>
  <c r="T25" i="37"/>
  <c r="B74" i="37"/>
  <c r="B25" i="37"/>
  <c r="AX32" i="37"/>
  <c r="AR32" i="37"/>
  <c r="AF32" i="37"/>
  <c r="R82" i="37"/>
  <c r="AD32" i="37"/>
  <c r="P82" i="37"/>
  <c r="AB32" i="37"/>
  <c r="Z32" i="37"/>
  <c r="X32" i="37"/>
  <c r="V32" i="37"/>
  <c r="AH32" i="37"/>
  <c r="N82" i="37"/>
  <c r="J82" i="37"/>
  <c r="AT32" i="37"/>
  <c r="AV32" i="37"/>
  <c r="L82" i="37"/>
  <c r="AZ32" i="37"/>
  <c r="AN32" i="37"/>
  <c r="AL32" i="37"/>
  <c r="AJ32" i="37"/>
  <c r="AP32" i="37"/>
  <c r="T82" i="37"/>
  <c r="V82" i="37"/>
  <c r="X82" i="37"/>
  <c r="Z82" i="37"/>
  <c r="AB82" i="37"/>
  <c r="AD82" i="37"/>
  <c r="AF82" i="37"/>
  <c r="AH82" i="37"/>
  <c r="AJ82" i="37"/>
  <c r="AL82" i="37"/>
  <c r="F76" i="37"/>
  <c r="F27" i="37"/>
  <c r="F74" i="36"/>
  <c r="F25" i="36"/>
  <c r="P73" i="36"/>
  <c r="AP23" i="36"/>
  <c r="Z23" i="36"/>
  <c r="X23" i="36"/>
  <c r="AD23" i="36"/>
  <c r="AB23" i="36"/>
  <c r="AN23" i="36"/>
  <c r="N73" i="36"/>
  <c r="AF23" i="36"/>
  <c r="AL23" i="36"/>
  <c r="L73" i="36"/>
  <c r="AJ23" i="36"/>
  <c r="R73" i="36"/>
  <c r="AH23" i="36"/>
  <c r="AZ23" i="36"/>
  <c r="J73" i="36"/>
  <c r="AX23" i="36"/>
  <c r="AR23" i="36"/>
  <c r="AV23" i="36"/>
  <c r="AT23" i="36"/>
  <c r="T73" i="36"/>
  <c r="V73" i="36"/>
  <c r="X73" i="36"/>
  <c r="Z73" i="36"/>
  <c r="AB73" i="36"/>
  <c r="AD73" i="36"/>
  <c r="AF73" i="36"/>
  <c r="AH73" i="36"/>
  <c r="AJ73" i="36"/>
  <c r="AL73" i="36"/>
  <c r="R27" i="36"/>
  <c r="T26" i="36"/>
  <c r="V22" i="36"/>
  <c r="B27" i="36"/>
  <c r="B76" i="36"/>
  <c r="O25" i="36"/>
  <c r="N24" i="36"/>
  <c r="F76" i="12"/>
  <c r="F27" i="12"/>
  <c r="R33" i="12"/>
  <c r="T32" i="12"/>
  <c r="AA16" i="30"/>
  <c r="AA20" i="30"/>
  <c r="AC13" i="30"/>
  <c r="W16" i="23"/>
  <c r="W20" i="23"/>
  <c r="Y13" i="23"/>
  <c r="B75" i="37"/>
  <c r="B26" i="37"/>
  <c r="AP33" i="37"/>
  <c r="L83" i="37"/>
  <c r="AZ33" i="37"/>
  <c r="AL33" i="37"/>
  <c r="Z33" i="37"/>
  <c r="AF33" i="37"/>
  <c r="AD33" i="37"/>
  <c r="R83" i="37"/>
  <c r="P83" i="37"/>
  <c r="AR33" i="37"/>
  <c r="AN33" i="37"/>
  <c r="AX33" i="37"/>
  <c r="AV33" i="37"/>
  <c r="AJ33" i="37"/>
  <c r="AT33" i="37"/>
  <c r="AB33" i="37"/>
  <c r="X33" i="37"/>
  <c r="J83" i="37"/>
  <c r="AH33" i="37"/>
  <c r="T83" i="37"/>
  <c r="N83" i="37"/>
  <c r="V83" i="37"/>
  <c r="X83" i="37"/>
  <c r="Z83" i="37"/>
  <c r="AB83" i="37"/>
  <c r="AD83" i="37"/>
  <c r="AF83" i="37"/>
  <c r="AH83" i="37"/>
  <c r="AJ83" i="37"/>
  <c r="AL83" i="37"/>
  <c r="O35" i="37"/>
  <c r="N34" i="37"/>
  <c r="F77" i="37"/>
  <c r="F28" i="37"/>
  <c r="T26" i="37"/>
  <c r="R27" i="37"/>
  <c r="B77" i="36"/>
  <c r="B28" i="36"/>
  <c r="T27" i="36"/>
  <c r="R28" i="36"/>
  <c r="O26" i="36"/>
  <c r="N25" i="36"/>
  <c r="V23" i="36"/>
  <c r="F26" i="36"/>
  <c r="F75" i="36"/>
  <c r="R74" i="36"/>
  <c r="AH24" i="36"/>
  <c r="L74" i="36"/>
  <c r="AB24" i="36"/>
  <c r="X24" i="36"/>
  <c r="J74" i="36"/>
  <c r="Z24" i="36"/>
  <c r="AV24" i="36"/>
  <c r="AT24" i="36"/>
  <c r="AR24" i="36"/>
  <c r="AN24" i="36"/>
  <c r="AP24" i="36"/>
  <c r="AZ24" i="36"/>
  <c r="AX24" i="36"/>
  <c r="AF24" i="36"/>
  <c r="T74" i="36"/>
  <c r="P74" i="36"/>
  <c r="N74" i="36"/>
  <c r="AL24" i="36"/>
  <c r="AJ24" i="36"/>
  <c r="AD24" i="36"/>
  <c r="V74" i="36"/>
  <c r="X74" i="36"/>
  <c r="Z74" i="36"/>
  <c r="AB74" i="36"/>
  <c r="AD74" i="36"/>
  <c r="AF74" i="36"/>
  <c r="AH74" i="36"/>
  <c r="AJ74" i="36"/>
  <c r="AL74" i="36"/>
  <c r="F77" i="12"/>
  <c r="F28" i="12"/>
  <c r="R34" i="12"/>
  <c r="T33" i="12"/>
  <c r="Y16" i="23"/>
  <c r="Y20" i="23"/>
  <c r="AA13" i="23"/>
  <c r="AC16" i="30"/>
  <c r="AC20" i="30"/>
  <c r="AE13" i="30"/>
  <c r="F78" i="37"/>
  <c r="F29" i="37"/>
  <c r="O36" i="37"/>
  <c r="N35" i="37"/>
  <c r="B76" i="37"/>
  <c r="B27" i="37"/>
  <c r="AH34" i="37"/>
  <c r="R84" i="37"/>
  <c r="AT34" i="37"/>
  <c r="AF34" i="37"/>
  <c r="AJ34" i="37"/>
  <c r="AD34" i="37"/>
  <c r="P84" i="37"/>
  <c r="N84" i="37"/>
  <c r="AZ34" i="37"/>
  <c r="L84" i="37"/>
  <c r="AN34" i="37"/>
  <c r="AX34" i="37"/>
  <c r="J84" i="37"/>
  <c r="AV34" i="37"/>
  <c r="AR34" i="37"/>
  <c r="AP34" i="37"/>
  <c r="AL34" i="37"/>
  <c r="AB34" i="37"/>
  <c r="Z34" i="37"/>
  <c r="X34" i="37"/>
  <c r="T84" i="37"/>
  <c r="V84" i="37"/>
  <c r="X84" i="37"/>
  <c r="Z84" i="37"/>
  <c r="AB84" i="37"/>
  <c r="AD84" i="37"/>
  <c r="AF84" i="37"/>
  <c r="AH84" i="37"/>
  <c r="AJ84" i="37"/>
  <c r="AL84" i="37"/>
  <c r="T27" i="37"/>
  <c r="R28" i="37"/>
  <c r="V33" i="37"/>
  <c r="F27" i="36"/>
  <c r="F76" i="36"/>
  <c r="Z25" i="36"/>
  <c r="AZ25" i="36"/>
  <c r="AD25" i="36"/>
  <c r="P75" i="36"/>
  <c r="X25" i="36"/>
  <c r="R75" i="36"/>
  <c r="AB25" i="36"/>
  <c r="N75" i="36"/>
  <c r="L75" i="36"/>
  <c r="AV25" i="36"/>
  <c r="AX25" i="36"/>
  <c r="AN25" i="36"/>
  <c r="AL25" i="36"/>
  <c r="AJ25" i="36"/>
  <c r="AH25" i="36"/>
  <c r="J75" i="36"/>
  <c r="AF25" i="36"/>
  <c r="AT25" i="36"/>
  <c r="AR25" i="36"/>
  <c r="AP25" i="36"/>
  <c r="T75" i="36"/>
  <c r="V75" i="36"/>
  <c r="X75" i="36"/>
  <c r="Z75" i="36"/>
  <c r="AB75" i="36"/>
  <c r="AD75" i="36"/>
  <c r="AF75" i="36"/>
  <c r="AH75" i="36"/>
  <c r="AJ75" i="36"/>
  <c r="AL75" i="36"/>
  <c r="O27" i="36"/>
  <c r="N26" i="36"/>
  <c r="B78" i="36"/>
  <c r="B29" i="36"/>
  <c r="V24" i="36"/>
  <c r="T28" i="36"/>
  <c r="R29" i="36"/>
  <c r="F78" i="12"/>
  <c r="F29" i="12"/>
  <c r="R35" i="12"/>
  <c r="T34" i="12"/>
  <c r="AE16" i="30"/>
  <c r="AE20" i="30"/>
  <c r="AG13" i="30"/>
  <c r="AA16" i="23"/>
  <c r="AA20" i="23"/>
  <c r="AC13" i="23"/>
  <c r="B77" i="37"/>
  <c r="B28" i="37"/>
  <c r="Z35" i="37"/>
  <c r="AN35" i="37"/>
  <c r="L85" i="37"/>
  <c r="AB35" i="37"/>
  <c r="J85" i="37"/>
  <c r="AJ35" i="37"/>
  <c r="AH35" i="37"/>
  <c r="AX35" i="37"/>
  <c r="AD35" i="37"/>
  <c r="X35" i="37"/>
  <c r="AT35" i="37"/>
  <c r="AF35" i="37"/>
  <c r="T85" i="37"/>
  <c r="AR35" i="37"/>
  <c r="AP35" i="37"/>
  <c r="AL35" i="37"/>
  <c r="P85" i="37"/>
  <c r="N85" i="37"/>
  <c r="R85" i="37"/>
  <c r="AZ35" i="37"/>
  <c r="AV35" i="37"/>
  <c r="V85" i="37"/>
  <c r="X85" i="37"/>
  <c r="Z85" i="37"/>
  <c r="AB85" i="37"/>
  <c r="AD85" i="37"/>
  <c r="AF85" i="37"/>
  <c r="AH85" i="37"/>
  <c r="AJ85" i="37"/>
  <c r="AL85" i="37"/>
  <c r="F79" i="37"/>
  <c r="F30" i="37"/>
  <c r="T28" i="37"/>
  <c r="R29" i="37"/>
  <c r="V34" i="37"/>
  <c r="O37" i="37"/>
  <c r="N36" i="37"/>
  <c r="R30" i="36"/>
  <c r="T29" i="36"/>
  <c r="O28" i="36"/>
  <c r="N27" i="36"/>
  <c r="N76" i="36"/>
  <c r="AX26" i="36"/>
  <c r="L76" i="36"/>
  <c r="AV26" i="36"/>
  <c r="J76" i="36"/>
  <c r="AT26" i="36"/>
  <c r="AD26" i="36"/>
  <c r="Z26" i="36"/>
  <c r="AB26" i="36"/>
  <c r="X26" i="36"/>
  <c r="AR26" i="36"/>
  <c r="AN26" i="36"/>
  <c r="AP26" i="36"/>
  <c r="AL26" i="36"/>
  <c r="AJ26" i="36"/>
  <c r="AZ26" i="36"/>
  <c r="AF26" i="36"/>
  <c r="R76" i="36"/>
  <c r="P76" i="36"/>
  <c r="AH26" i="36"/>
  <c r="T76" i="36"/>
  <c r="V76" i="36"/>
  <c r="X76" i="36"/>
  <c r="Z76" i="36"/>
  <c r="AB76" i="36"/>
  <c r="AD76" i="36"/>
  <c r="AF76" i="36"/>
  <c r="AH76" i="36"/>
  <c r="AJ76" i="36"/>
  <c r="AL76" i="36"/>
  <c r="F77" i="36"/>
  <c r="F28" i="36"/>
  <c r="B30" i="36"/>
  <c r="B79" i="36"/>
  <c r="V25" i="36"/>
  <c r="F79" i="12"/>
  <c r="F30" i="12"/>
  <c r="R36" i="12"/>
  <c r="T35" i="12"/>
  <c r="AC16" i="23"/>
  <c r="AC20" i="23"/>
  <c r="AE13" i="23"/>
  <c r="AG16" i="30"/>
  <c r="AG20" i="30"/>
  <c r="AI13" i="30"/>
  <c r="T29" i="37"/>
  <c r="R30" i="37"/>
  <c r="B78" i="37"/>
  <c r="B29" i="37"/>
  <c r="AH36" i="37"/>
  <c r="R86" i="37"/>
  <c r="AX36" i="37"/>
  <c r="AL36" i="37"/>
  <c r="AJ36" i="37"/>
  <c r="J86" i="37"/>
  <c r="X36" i="37"/>
  <c r="AV36" i="37"/>
  <c r="AT36" i="37"/>
  <c r="AR36" i="37"/>
  <c r="AN36" i="37"/>
  <c r="AP36" i="37"/>
  <c r="AD36" i="37"/>
  <c r="P86" i="37"/>
  <c r="AB36" i="37"/>
  <c r="N86" i="37"/>
  <c r="Z36" i="37"/>
  <c r="AZ36" i="37"/>
  <c r="L86" i="37"/>
  <c r="AF36" i="37"/>
  <c r="T86" i="37"/>
  <c r="V86" i="37"/>
  <c r="X86" i="37"/>
  <c r="Z86" i="37"/>
  <c r="AB86" i="37"/>
  <c r="AD86" i="37"/>
  <c r="AF86" i="37"/>
  <c r="AH86" i="37"/>
  <c r="AJ86" i="37"/>
  <c r="AL86" i="37"/>
  <c r="N37" i="37"/>
  <c r="O38" i="37"/>
  <c r="F31" i="37"/>
  <c r="F80" i="37"/>
  <c r="V35" i="37"/>
  <c r="F78" i="36"/>
  <c r="F29" i="36"/>
  <c r="B80" i="36"/>
  <c r="B31" i="36"/>
  <c r="V26" i="36"/>
  <c r="AX27" i="36"/>
  <c r="AR27" i="36"/>
  <c r="R77" i="36"/>
  <c r="AP27" i="36"/>
  <c r="P77" i="36"/>
  <c r="AN27" i="36"/>
  <c r="AD27" i="36"/>
  <c r="Z27" i="36"/>
  <c r="AB27" i="36"/>
  <c r="X27" i="36"/>
  <c r="AF27" i="36"/>
  <c r="AH27" i="36"/>
  <c r="N77" i="36"/>
  <c r="L77" i="36"/>
  <c r="J77" i="36"/>
  <c r="AV27" i="36"/>
  <c r="AT27" i="36"/>
  <c r="AL27" i="36"/>
  <c r="AZ27" i="36"/>
  <c r="AJ27" i="36"/>
  <c r="T77" i="36"/>
  <c r="V77" i="36"/>
  <c r="X77" i="36"/>
  <c r="Z77" i="36"/>
  <c r="AB77" i="36"/>
  <c r="AD77" i="36"/>
  <c r="AF77" i="36"/>
  <c r="AH77" i="36"/>
  <c r="AJ77" i="36"/>
  <c r="AL77" i="36"/>
  <c r="N28" i="36"/>
  <c r="O29" i="36"/>
  <c r="R31" i="36"/>
  <c r="T30" i="36"/>
  <c r="F80" i="12"/>
  <c r="F31" i="12"/>
  <c r="T36" i="12"/>
  <c r="R37" i="12"/>
  <c r="AI16" i="30"/>
  <c r="AI20" i="30"/>
  <c r="AK13" i="30"/>
  <c r="AE16" i="23"/>
  <c r="AE20" i="23"/>
  <c r="AG13" i="23"/>
  <c r="AX37" i="37"/>
  <c r="AB37" i="37"/>
  <c r="J87" i="37"/>
  <c r="AR37" i="37"/>
  <c r="AJ37" i="37"/>
  <c r="AH37" i="37"/>
  <c r="R87" i="37"/>
  <c r="AF37" i="37"/>
  <c r="AD37" i="37"/>
  <c r="L87" i="37"/>
  <c r="AV37" i="37"/>
  <c r="AT37" i="37"/>
  <c r="AP37" i="37"/>
  <c r="X37" i="37"/>
  <c r="AZ37" i="37"/>
  <c r="Z37" i="37"/>
  <c r="AN37" i="37"/>
  <c r="AL37" i="37"/>
  <c r="N87" i="37"/>
  <c r="P87" i="37"/>
  <c r="T87" i="37"/>
  <c r="V87" i="37"/>
  <c r="X87" i="37"/>
  <c r="Z87" i="37"/>
  <c r="AB87" i="37"/>
  <c r="AD87" i="37"/>
  <c r="AF87" i="37"/>
  <c r="AH87" i="37"/>
  <c r="AJ87" i="37"/>
  <c r="AL87" i="37"/>
  <c r="R31" i="37"/>
  <c r="T30" i="37"/>
  <c r="F81" i="37"/>
  <c r="F32" i="37"/>
  <c r="O39" i="37"/>
  <c r="N38" i="37"/>
  <c r="V36" i="37"/>
  <c r="B30" i="37"/>
  <c r="B79" i="37"/>
  <c r="O30" i="36"/>
  <c r="N29" i="36"/>
  <c r="T31" i="36"/>
  <c r="R32" i="36"/>
  <c r="V27" i="36"/>
  <c r="B81" i="36"/>
  <c r="B32" i="36"/>
  <c r="F30" i="36"/>
  <c r="F79" i="36"/>
  <c r="AP28" i="36"/>
  <c r="AL28" i="36"/>
  <c r="AJ28" i="36"/>
  <c r="AH28" i="36"/>
  <c r="J78" i="36"/>
  <c r="AD28" i="36"/>
  <c r="Z28" i="36"/>
  <c r="AB28" i="36"/>
  <c r="X28" i="36"/>
  <c r="AV28" i="36"/>
  <c r="P78" i="36"/>
  <c r="AF28" i="36"/>
  <c r="AT28" i="36"/>
  <c r="N78" i="36"/>
  <c r="AR28" i="36"/>
  <c r="R78" i="36"/>
  <c r="AN28" i="36"/>
  <c r="AZ28" i="36"/>
  <c r="AX28" i="36"/>
  <c r="L78" i="36"/>
  <c r="T78" i="36"/>
  <c r="V78" i="36"/>
  <c r="X78" i="36"/>
  <c r="Z78" i="36"/>
  <c r="AB78" i="36"/>
  <c r="AD78" i="36"/>
  <c r="AF78" i="36"/>
  <c r="AH78" i="36"/>
  <c r="AJ78" i="36"/>
  <c r="AL78" i="36"/>
  <c r="F81" i="12"/>
  <c r="F32" i="12"/>
  <c r="R38" i="12"/>
  <c r="T37" i="12"/>
  <c r="AG16" i="23"/>
  <c r="AG20" i="23"/>
  <c r="AI13" i="23"/>
  <c r="AK16" i="30"/>
  <c r="AK20" i="30"/>
  <c r="I30" i="30"/>
  <c r="AP38" i="37"/>
  <c r="AZ38" i="37"/>
  <c r="P88" i="37"/>
  <c r="AL38" i="37"/>
  <c r="AJ38" i="37"/>
  <c r="AH38" i="37"/>
  <c r="X38" i="37"/>
  <c r="AV38" i="37"/>
  <c r="AT38" i="37"/>
  <c r="AR38" i="37"/>
  <c r="AB38" i="37"/>
  <c r="R88" i="37"/>
  <c r="N88" i="37"/>
  <c r="J88" i="37"/>
  <c r="AX38" i="37"/>
  <c r="AN38" i="37"/>
  <c r="L88" i="37"/>
  <c r="AF38" i="37"/>
  <c r="AD38" i="37"/>
  <c r="Z38" i="37"/>
  <c r="T88" i="37"/>
  <c r="V88" i="37"/>
  <c r="X88" i="37"/>
  <c r="Z88" i="37"/>
  <c r="AB88" i="37"/>
  <c r="AD88" i="37"/>
  <c r="AF88" i="37"/>
  <c r="AH88" i="37"/>
  <c r="AJ88" i="37"/>
  <c r="AL88" i="37"/>
  <c r="N39" i="37"/>
  <c r="O40" i="37"/>
  <c r="V37" i="37"/>
  <c r="B31" i="37"/>
  <c r="B80" i="37"/>
  <c r="F82" i="37"/>
  <c r="F33" i="37"/>
  <c r="R32" i="37"/>
  <c r="T31" i="37"/>
  <c r="F80" i="36"/>
  <c r="F31" i="36"/>
  <c r="T32" i="36"/>
  <c r="R33" i="36"/>
  <c r="AH29" i="36"/>
  <c r="AF29" i="36"/>
  <c r="AD29" i="36"/>
  <c r="AB29" i="36"/>
  <c r="AL29" i="36"/>
  <c r="P79" i="36"/>
  <c r="Z29" i="36"/>
  <c r="R79" i="36"/>
  <c r="AJ29" i="36"/>
  <c r="N79" i="36"/>
  <c r="X29" i="36"/>
  <c r="L79" i="36"/>
  <c r="AZ29" i="36"/>
  <c r="AV29" i="36"/>
  <c r="AX29" i="36"/>
  <c r="J79" i="36"/>
  <c r="AT29" i="36"/>
  <c r="AN29" i="36"/>
  <c r="AR29" i="36"/>
  <c r="AP29" i="36"/>
  <c r="T79" i="36"/>
  <c r="V79" i="36"/>
  <c r="X79" i="36"/>
  <c r="Z79" i="36"/>
  <c r="AB79" i="36"/>
  <c r="AD79" i="36"/>
  <c r="AF79" i="36"/>
  <c r="AH79" i="36"/>
  <c r="AJ79" i="36"/>
  <c r="AL79" i="36"/>
  <c r="V28" i="36"/>
  <c r="B82" i="36"/>
  <c r="B33" i="36"/>
  <c r="O31" i="36"/>
  <c r="N30" i="36"/>
  <c r="F33" i="12"/>
  <c r="F82" i="12"/>
  <c r="T38" i="12"/>
  <c r="R39" i="12"/>
  <c r="I33" i="30"/>
  <c r="I37" i="30"/>
  <c r="K30" i="30"/>
  <c r="AI16" i="23"/>
  <c r="AI20" i="23"/>
  <c r="AK13" i="23"/>
  <c r="F83" i="37"/>
  <c r="F34" i="37"/>
  <c r="R33" i="37"/>
  <c r="T32" i="37"/>
  <c r="B81" i="37"/>
  <c r="B32" i="37"/>
  <c r="O41" i="37"/>
  <c r="N40" i="37"/>
  <c r="AH39" i="37"/>
  <c r="AT39" i="37"/>
  <c r="R89" i="37"/>
  <c r="AF39" i="37"/>
  <c r="J89" i="37"/>
  <c r="AL39" i="37"/>
  <c r="AJ39" i="37"/>
  <c r="P89" i="37"/>
  <c r="N89" i="37"/>
  <c r="AZ39" i="37"/>
  <c r="AP39" i="37"/>
  <c r="AV39" i="37"/>
  <c r="AR39" i="37"/>
  <c r="AN39" i="37"/>
  <c r="AB39" i="37"/>
  <c r="AD39" i="37"/>
  <c r="X39" i="37"/>
  <c r="L89" i="37"/>
  <c r="AX39" i="37"/>
  <c r="Z39" i="37"/>
  <c r="T89" i="37"/>
  <c r="V89" i="37"/>
  <c r="X89" i="37"/>
  <c r="Z89" i="37"/>
  <c r="AB89" i="37"/>
  <c r="AD89" i="37"/>
  <c r="AF89" i="37"/>
  <c r="AH89" i="37"/>
  <c r="AJ89" i="37"/>
  <c r="AL89" i="37"/>
  <c r="V38" i="37"/>
  <c r="Z30" i="36"/>
  <c r="AB30" i="36"/>
  <c r="X30" i="36"/>
  <c r="AL30" i="36"/>
  <c r="AH30" i="36"/>
  <c r="AJ30" i="36"/>
  <c r="AF30" i="36"/>
  <c r="P80" i="36"/>
  <c r="N80" i="36"/>
  <c r="L80" i="36"/>
  <c r="J80" i="36"/>
  <c r="AT30" i="36"/>
  <c r="R80" i="36"/>
  <c r="AR30" i="36"/>
  <c r="AP30" i="36"/>
  <c r="AN30" i="36"/>
  <c r="AD30" i="36"/>
  <c r="AZ30" i="36"/>
  <c r="AX30" i="36"/>
  <c r="AV30" i="36"/>
  <c r="T80" i="36"/>
  <c r="V80" i="36"/>
  <c r="X80" i="36"/>
  <c r="Z80" i="36"/>
  <c r="AB80" i="36"/>
  <c r="AD80" i="36"/>
  <c r="AF80" i="36"/>
  <c r="AH80" i="36"/>
  <c r="AJ80" i="36"/>
  <c r="AL80" i="36"/>
  <c r="O32" i="36"/>
  <c r="N31" i="36"/>
  <c r="B34" i="36"/>
  <c r="B83" i="36"/>
  <c r="V29" i="36"/>
  <c r="F32" i="36"/>
  <c r="F81" i="36"/>
  <c r="T33" i="36"/>
  <c r="R34" i="36"/>
  <c r="F83" i="12"/>
  <c r="F34" i="12"/>
  <c r="T39" i="12"/>
  <c r="R40" i="12"/>
  <c r="AK16" i="23"/>
  <c r="AK20" i="23"/>
  <c r="I30" i="23"/>
  <c r="K33" i="30"/>
  <c r="K37" i="30"/>
  <c r="M30" i="30"/>
  <c r="J90" i="37"/>
  <c r="Z40" i="37"/>
  <c r="AZ40" i="37"/>
  <c r="AN40" i="37"/>
  <c r="AB40" i="37"/>
  <c r="AL40" i="37"/>
  <c r="R90" i="37"/>
  <c r="AJ40" i="37"/>
  <c r="N90" i="37"/>
  <c r="AX40" i="37"/>
  <c r="L90" i="37"/>
  <c r="AV40" i="37"/>
  <c r="AT40" i="37"/>
  <c r="AF40" i="37"/>
  <c r="AD40" i="37"/>
  <c r="X40" i="37"/>
  <c r="AR40" i="37"/>
  <c r="P90" i="37"/>
  <c r="AP40" i="37"/>
  <c r="AH40" i="37"/>
  <c r="T90" i="37"/>
  <c r="V90" i="37"/>
  <c r="X90" i="37"/>
  <c r="Z90" i="37"/>
  <c r="AB90" i="37"/>
  <c r="AD90" i="37"/>
  <c r="AF90" i="37"/>
  <c r="AH90" i="37"/>
  <c r="AJ90" i="37"/>
  <c r="AL90" i="37"/>
  <c r="O42" i="37"/>
  <c r="N41" i="37"/>
  <c r="B82" i="37"/>
  <c r="B33" i="37"/>
  <c r="V39" i="37"/>
  <c r="R34" i="37"/>
  <c r="T33" i="37"/>
  <c r="F84" i="37"/>
  <c r="F35" i="37"/>
  <c r="F33" i="36"/>
  <c r="F82" i="36"/>
  <c r="R35" i="36"/>
  <c r="T34" i="36"/>
  <c r="B35" i="36"/>
  <c r="B84" i="36"/>
  <c r="AJ31" i="36"/>
  <c r="AF31" i="36"/>
  <c r="AH31" i="36"/>
  <c r="AD31" i="36"/>
  <c r="AR31" i="36"/>
  <c r="AN31" i="36"/>
  <c r="R81" i="36"/>
  <c r="AV31" i="36"/>
  <c r="AT31" i="36"/>
  <c r="AP31" i="36"/>
  <c r="AL31" i="36"/>
  <c r="P81" i="36"/>
  <c r="AZ31" i="36"/>
  <c r="AX31" i="36"/>
  <c r="AB31" i="36"/>
  <c r="Z31" i="36"/>
  <c r="N81" i="36"/>
  <c r="L81" i="36"/>
  <c r="J81" i="36"/>
  <c r="X31" i="36"/>
  <c r="T81" i="36"/>
  <c r="V81" i="36"/>
  <c r="X81" i="36"/>
  <c r="Z81" i="36"/>
  <c r="AB81" i="36"/>
  <c r="AD81" i="36"/>
  <c r="AF81" i="36"/>
  <c r="AH81" i="36"/>
  <c r="AJ81" i="36"/>
  <c r="AL81" i="36"/>
  <c r="N32" i="36"/>
  <c r="O33" i="36"/>
  <c r="V30" i="36"/>
  <c r="F84" i="12"/>
  <c r="F35" i="12"/>
  <c r="T40" i="12"/>
  <c r="R41" i="12"/>
  <c r="M33" i="30"/>
  <c r="M37" i="30"/>
  <c r="O30" i="30"/>
  <c r="I33" i="23"/>
  <c r="I37" i="23"/>
  <c r="K30" i="23"/>
  <c r="F36" i="37"/>
  <c r="F85" i="37"/>
  <c r="V40" i="37"/>
  <c r="B83" i="37"/>
  <c r="B34" i="37"/>
  <c r="T34" i="37"/>
  <c r="R35" i="37"/>
  <c r="L91" i="37"/>
  <c r="J91" i="37"/>
  <c r="AT41" i="37"/>
  <c r="AH41" i="37"/>
  <c r="AN41" i="37"/>
  <c r="AL41" i="37"/>
  <c r="R91" i="37"/>
  <c r="Z41" i="37"/>
  <c r="P91" i="37"/>
  <c r="X41" i="37"/>
  <c r="V41" i="37"/>
  <c r="AD41" i="37"/>
  <c r="AB41" i="37"/>
  <c r="N91" i="37"/>
  <c r="AZ41" i="37"/>
  <c r="AX41" i="37"/>
  <c r="AF41" i="37"/>
  <c r="AV41" i="37"/>
  <c r="AR41" i="37"/>
  <c r="AP41" i="37"/>
  <c r="AJ41" i="37"/>
  <c r="T91" i="37"/>
  <c r="V91" i="37"/>
  <c r="X91" i="37"/>
  <c r="Z91" i="37"/>
  <c r="AB91" i="37"/>
  <c r="AD91" i="37"/>
  <c r="AF91" i="37"/>
  <c r="AH91" i="37"/>
  <c r="AJ91" i="37"/>
  <c r="AL91" i="37"/>
  <c r="O43" i="37"/>
  <c r="N42" i="37"/>
  <c r="AX32" i="36"/>
  <c r="J82" i="36"/>
  <c r="L82" i="36"/>
  <c r="AH32" i="36"/>
  <c r="AD32" i="36"/>
  <c r="AF32" i="36"/>
  <c r="AB32" i="36"/>
  <c r="AJ32" i="36"/>
  <c r="Z32" i="36"/>
  <c r="X32" i="36"/>
  <c r="R82" i="36"/>
  <c r="P82" i="36"/>
  <c r="N82" i="36"/>
  <c r="AZ32" i="36"/>
  <c r="AV32" i="36"/>
  <c r="AR32" i="36"/>
  <c r="AP32" i="36"/>
  <c r="AN32" i="36"/>
  <c r="AL32" i="36"/>
  <c r="AT32" i="36"/>
  <c r="T82" i="36"/>
  <c r="V82" i="36"/>
  <c r="X82" i="36"/>
  <c r="Z82" i="36"/>
  <c r="AB82" i="36"/>
  <c r="AD82" i="36"/>
  <c r="AF82" i="36"/>
  <c r="AH82" i="36"/>
  <c r="AJ82" i="36"/>
  <c r="AL82" i="36"/>
  <c r="V31" i="36"/>
  <c r="B36" i="36"/>
  <c r="B85" i="36"/>
  <c r="R36" i="36"/>
  <c r="T35" i="36"/>
  <c r="O34" i="36"/>
  <c r="N33" i="36"/>
  <c r="F83" i="36"/>
  <c r="F34" i="36"/>
  <c r="F85" i="12"/>
  <c r="F36" i="12"/>
  <c r="T41" i="12"/>
  <c r="R42" i="12"/>
  <c r="K33" i="23"/>
  <c r="K37" i="23"/>
  <c r="M30" i="23"/>
  <c r="O33" i="30"/>
  <c r="O37" i="30"/>
  <c r="Q30" i="30"/>
  <c r="N92" i="37"/>
  <c r="AX42" i="37"/>
  <c r="J92" i="37"/>
  <c r="R92" i="37"/>
  <c r="AN42" i="37"/>
  <c r="AB42" i="37"/>
  <c r="AL42" i="37"/>
  <c r="AJ42" i="37"/>
  <c r="X42" i="37"/>
  <c r="AH42" i="37"/>
  <c r="AF42" i="37"/>
  <c r="AD42" i="37"/>
  <c r="AZ42" i="37"/>
  <c r="AV42" i="37"/>
  <c r="AR42" i="37"/>
  <c r="AT42" i="37"/>
  <c r="L92" i="37"/>
  <c r="Z42" i="37"/>
  <c r="AP42" i="37"/>
  <c r="P92" i="37"/>
  <c r="T92" i="37"/>
  <c r="V92" i="37"/>
  <c r="X92" i="37"/>
  <c r="Z92" i="37"/>
  <c r="AB92" i="37"/>
  <c r="AD92" i="37"/>
  <c r="AF92" i="37"/>
  <c r="AH92" i="37"/>
  <c r="AJ92" i="37"/>
  <c r="AL92" i="37"/>
  <c r="O44" i="37"/>
  <c r="N43" i="37"/>
  <c r="R36" i="37"/>
  <c r="T35" i="37"/>
  <c r="B35" i="37"/>
  <c r="B84" i="37"/>
  <c r="F86" i="37"/>
  <c r="F37" i="37"/>
  <c r="AP33" i="36"/>
  <c r="L83" i="36"/>
  <c r="J83" i="36"/>
  <c r="AZ33" i="36"/>
  <c r="AX33" i="36"/>
  <c r="AV33" i="36"/>
  <c r="AH33" i="36"/>
  <c r="R83" i="36"/>
  <c r="AD33" i="36"/>
  <c r="AF33" i="36"/>
  <c r="P83" i="36"/>
  <c r="AB33" i="36"/>
  <c r="N83" i="36"/>
  <c r="AT33" i="36"/>
  <c r="AR33" i="36"/>
  <c r="AN33" i="36"/>
  <c r="AL33" i="36"/>
  <c r="AJ33" i="36"/>
  <c r="X33" i="36"/>
  <c r="Z33" i="36"/>
  <c r="T83" i="36"/>
  <c r="V83" i="36"/>
  <c r="X83" i="36"/>
  <c r="Z83" i="36"/>
  <c r="AB83" i="36"/>
  <c r="AD83" i="36"/>
  <c r="AF83" i="36"/>
  <c r="AH83" i="36"/>
  <c r="AJ83" i="36"/>
  <c r="AL83" i="36"/>
  <c r="O35" i="36"/>
  <c r="N34" i="36"/>
  <c r="T36" i="36"/>
  <c r="R37" i="36"/>
  <c r="B86" i="36"/>
  <c r="B37" i="36"/>
  <c r="V32" i="36"/>
  <c r="F35" i="36"/>
  <c r="F84" i="36"/>
  <c r="F86" i="12"/>
  <c r="F37" i="12"/>
  <c r="T42" i="12"/>
  <c r="R43" i="12"/>
  <c r="Q33" i="30"/>
  <c r="Q37" i="30"/>
  <c r="S30" i="30"/>
  <c r="M33" i="23"/>
  <c r="M37" i="23"/>
  <c r="O30" i="23"/>
  <c r="F38" i="37"/>
  <c r="F87" i="37"/>
  <c r="T36" i="37"/>
  <c r="R37" i="37"/>
  <c r="B85" i="37"/>
  <c r="B36" i="37"/>
  <c r="P93" i="37"/>
  <c r="AP43" i="37"/>
  <c r="L93" i="37"/>
  <c r="AH43" i="37"/>
  <c r="AZ43" i="37"/>
  <c r="AN43" i="37"/>
  <c r="AL43" i="37"/>
  <c r="Z43" i="37"/>
  <c r="AX43" i="37"/>
  <c r="AV43" i="37"/>
  <c r="AT43" i="37"/>
  <c r="AD43" i="37"/>
  <c r="AR43" i="37"/>
  <c r="T93" i="37"/>
  <c r="AJ43" i="37"/>
  <c r="AF43" i="37"/>
  <c r="AB43" i="37"/>
  <c r="X43" i="37"/>
  <c r="R93" i="37"/>
  <c r="N93" i="37"/>
  <c r="J93" i="37"/>
  <c r="V93" i="37"/>
  <c r="X93" i="37"/>
  <c r="Z93" i="37"/>
  <c r="AB93" i="37"/>
  <c r="AD93" i="37"/>
  <c r="AF93" i="37"/>
  <c r="AH93" i="37"/>
  <c r="AJ93" i="37"/>
  <c r="AL93" i="37"/>
  <c r="O45" i="37"/>
  <c r="N44" i="37"/>
  <c r="V42" i="37"/>
  <c r="F36" i="36"/>
  <c r="F85" i="36"/>
  <c r="R38" i="36"/>
  <c r="T37" i="36"/>
  <c r="O36" i="36"/>
  <c r="N35" i="36"/>
  <c r="V33" i="36"/>
  <c r="B38" i="36"/>
  <c r="B87" i="36"/>
  <c r="AH34" i="36"/>
  <c r="N84" i="36"/>
  <c r="AX34" i="36"/>
  <c r="R84" i="36"/>
  <c r="AT34" i="36"/>
  <c r="P84" i="36"/>
  <c r="AR34" i="36"/>
  <c r="L84" i="36"/>
  <c r="AP34" i="36"/>
  <c r="AJ34" i="36"/>
  <c r="AD34" i="36"/>
  <c r="AF34" i="36"/>
  <c r="AB34" i="36"/>
  <c r="AZ34" i="36"/>
  <c r="AV34" i="36"/>
  <c r="J84" i="36"/>
  <c r="Z34" i="36"/>
  <c r="X34" i="36"/>
  <c r="AN34" i="36"/>
  <c r="AL34" i="36"/>
  <c r="T84" i="36"/>
  <c r="V84" i="36"/>
  <c r="X84" i="36"/>
  <c r="Z84" i="36"/>
  <c r="AB84" i="36"/>
  <c r="AD84" i="36"/>
  <c r="AF84" i="36"/>
  <c r="AH84" i="36"/>
  <c r="AJ84" i="36"/>
  <c r="AL84" i="36"/>
  <c r="F87" i="12"/>
  <c r="F38" i="12"/>
  <c r="R44" i="12"/>
  <c r="T43" i="12"/>
  <c r="O33" i="23"/>
  <c r="O37" i="23"/>
  <c r="Q30" i="23"/>
  <c r="S33" i="30"/>
  <c r="S37" i="30"/>
  <c r="U30" i="30"/>
  <c r="V43" i="37"/>
  <c r="R38" i="37"/>
  <c r="T37" i="37"/>
  <c r="R94" i="37"/>
  <c r="AH44" i="37"/>
  <c r="N94" i="37"/>
  <c r="AB44" i="37"/>
  <c r="P94" i="37"/>
  <c r="AT44" i="37"/>
  <c r="AN44" i="37"/>
  <c r="AL44" i="37"/>
  <c r="X44" i="37"/>
  <c r="L94" i="37"/>
  <c r="J94" i="37"/>
  <c r="AR44" i="37"/>
  <c r="AD44" i="37"/>
  <c r="Z44" i="37"/>
  <c r="AZ44" i="37"/>
  <c r="AV44" i="37"/>
  <c r="AP44" i="37"/>
  <c r="AJ44" i="37"/>
  <c r="AF44" i="37"/>
  <c r="AX44" i="37"/>
  <c r="T94" i="37"/>
  <c r="V94" i="37"/>
  <c r="X94" i="37"/>
  <c r="Z94" i="37"/>
  <c r="AB94" i="37"/>
  <c r="AD94" i="37"/>
  <c r="AF94" i="37"/>
  <c r="AH94" i="37"/>
  <c r="AJ94" i="37"/>
  <c r="AL94" i="37"/>
  <c r="O46" i="37"/>
  <c r="N45" i="37"/>
  <c r="B86" i="37"/>
  <c r="B37" i="37"/>
  <c r="F88" i="37"/>
  <c r="F39" i="37"/>
  <c r="Z35" i="36"/>
  <c r="P85" i="36"/>
  <c r="AP35" i="36"/>
  <c r="AR35" i="36"/>
  <c r="AN35" i="36"/>
  <c r="AL35" i="36"/>
  <c r="AT35" i="36"/>
  <c r="AH35" i="36"/>
  <c r="AJ35" i="36"/>
  <c r="AF35" i="36"/>
  <c r="J85" i="36"/>
  <c r="R85" i="36"/>
  <c r="N85" i="36"/>
  <c r="L85" i="36"/>
  <c r="AZ35" i="36"/>
  <c r="AX35" i="36"/>
  <c r="AV35" i="36"/>
  <c r="AD35" i="36"/>
  <c r="AB35" i="36"/>
  <c r="X35" i="36"/>
  <c r="T85" i="36"/>
  <c r="V85" i="36"/>
  <c r="X85" i="36"/>
  <c r="Z85" i="36"/>
  <c r="AB85" i="36"/>
  <c r="AD85" i="36"/>
  <c r="AF85" i="36"/>
  <c r="AH85" i="36"/>
  <c r="AJ85" i="36"/>
  <c r="AL85" i="36"/>
  <c r="B39" i="36"/>
  <c r="B88" i="36"/>
  <c r="V34" i="36"/>
  <c r="O37" i="36"/>
  <c r="N36" i="36"/>
  <c r="R39" i="36"/>
  <c r="T38" i="36"/>
  <c r="F86" i="36"/>
  <c r="F37" i="36"/>
  <c r="F88" i="12"/>
  <c r="F39" i="12"/>
  <c r="R45" i="12"/>
  <c r="T44" i="12"/>
  <c r="U33" i="30"/>
  <c r="U37" i="30"/>
  <c r="W30" i="30"/>
  <c r="Q33" i="23"/>
  <c r="Q37" i="23"/>
  <c r="S30" i="23"/>
  <c r="V35" i="36"/>
  <c r="F40" i="37"/>
  <c r="F89" i="37"/>
  <c r="V44" i="37"/>
  <c r="B87" i="37"/>
  <c r="B38" i="37"/>
  <c r="R39" i="37"/>
  <c r="T38" i="37"/>
  <c r="Z45" i="37"/>
  <c r="P95" i="37"/>
  <c r="AZ45" i="37"/>
  <c r="AN45" i="37"/>
  <c r="AP45" i="37"/>
  <c r="AL45" i="37"/>
  <c r="N95" i="37"/>
  <c r="AB45" i="37"/>
  <c r="L95" i="37"/>
  <c r="AX45" i="37"/>
  <c r="AT45" i="37"/>
  <c r="AV45" i="37"/>
  <c r="AJ45" i="37"/>
  <c r="AH45" i="37"/>
  <c r="AF45" i="37"/>
  <c r="AD45" i="37"/>
  <c r="X45" i="37"/>
  <c r="AR45" i="37"/>
  <c r="J95" i="37"/>
  <c r="R95" i="37"/>
  <c r="T95" i="37"/>
  <c r="V95" i="37"/>
  <c r="X95" i="37"/>
  <c r="Z95" i="37"/>
  <c r="AB95" i="37"/>
  <c r="AD95" i="37"/>
  <c r="AF95" i="37"/>
  <c r="AH95" i="37"/>
  <c r="AJ95" i="37"/>
  <c r="AL95" i="37"/>
  <c r="O47" i="37"/>
  <c r="N46" i="37"/>
  <c r="F87" i="36"/>
  <c r="F38" i="36"/>
  <c r="R40" i="36"/>
  <c r="T39" i="36"/>
  <c r="B89" i="36"/>
  <c r="B40" i="36"/>
  <c r="R86" i="36"/>
  <c r="AH36" i="36"/>
  <c r="AN36" i="36"/>
  <c r="AL36" i="36"/>
  <c r="AJ36" i="36"/>
  <c r="J86" i="36"/>
  <c r="AV36" i="36"/>
  <c r="AR36" i="36"/>
  <c r="AT36" i="36"/>
  <c r="AP36" i="36"/>
  <c r="Z36" i="36"/>
  <c r="X36" i="36"/>
  <c r="P86" i="36"/>
  <c r="N86" i="36"/>
  <c r="L86" i="36"/>
  <c r="AZ36" i="36"/>
  <c r="AX36" i="36"/>
  <c r="AF36" i="36"/>
  <c r="AB36" i="36"/>
  <c r="AD36" i="36"/>
  <c r="T86" i="36"/>
  <c r="V86" i="36"/>
  <c r="X86" i="36"/>
  <c r="Z86" i="36"/>
  <c r="AB86" i="36"/>
  <c r="AD86" i="36"/>
  <c r="AF86" i="36"/>
  <c r="AH86" i="36"/>
  <c r="AJ86" i="36"/>
  <c r="AL86" i="36"/>
  <c r="N37" i="36"/>
  <c r="O38" i="36"/>
  <c r="F89" i="12"/>
  <c r="F40" i="12"/>
  <c r="R46" i="12"/>
  <c r="T45" i="12"/>
  <c r="S33" i="23"/>
  <c r="S37" i="23"/>
  <c r="U30" i="23"/>
  <c r="W33" i="30"/>
  <c r="W37" i="30"/>
  <c r="Y30" i="30"/>
  <c r="O48" i="37"/>
  <c r="N47" i="37"/>
  <c r="T39" i="37"/>
  <c r="R40" i="37"/>
  <c r="V45" i="37"/>
  <c r="R96" i="37"/>
  <c r="AT46" i="37"/>
  <c r="N96" i="37"/>
  <c r="AH46" i="37"/>
  <c r="L96" i="37"/>
  <c r="AN46" i="37"/>
  <c r="AL46" i="37"/>
  <c r="Z46" i="37"/>
  <c r="X46" i="37"/>
  <c r="P96" i="37"/>
  <c r="J96" i="37"/>
  <c r="AZ46" i="37"/>
  <c r="AX46" i="37"/>
  <c r="AP46" i="37"/>
  <c r="AV46" i="37"/>
  <c r="AR46" i="37"/>
  <c r="AJ46" i="37"/>
  <c r="AF46" i="37"/>
  <c r="AD46" i="37"/>
  <c r="AB46" i="37"/>
  <c r="T96" i="37"/>
  <c r="V96" i="37"/>
  <c r="X96" i="37"/>
  <c r="Z96" i="37"/>
  <c r="AB96" i="37"/>
  <c r="AD96" i="37"/>
  <c r="AF96" i="37"/>
  <c r="AH96" i="37"/>
  <c r="AJ96" i="37"/>
  <c r="AL96" i="37"/>
  <c r="B88" i="37"/>
  <c r="B39" i="37"/>
  <c r="F90" i="37"/>
  <c r="F41" i="37"/>
  <c r="AX37" i="36"/>
  <c r="Z37" i="36"/>
  <c r="AJ37" i="36"/>
  <c r="AH37" i="36"/>
  <c r="AF37" i="36"/>
  <c r="AZ37" i="36"/>
  <c r="P87" i="36"/>
  <c r="AT37" i="36"/>
  <c r="R87" i="36"/>
  <c r="AV37" i="36"/>
  <c r="N87" i="36"/>
  <c r="AR37" i="36"/>
  <c r="L87" i="36"/>
  <c r="AD37" i="36"/>
  <c r="AP37" i="36"/>
  <c r="AB37" i="36"/>
  <c r="AN37" i="36"/>
  <c r="AL37" i="36"/>
  <c r="X37" i="36"/>
  <c r="J87" i="36"/>
  <c r="T87" i="36"/>
  <c r="V87" i="36"/>
  <c r="X87" i="36"/>
  <c r="Z87" i="36"/>
  <c r="AB87" i="36"/>
  <c r="AD87" i="36"/>
  <c r="AF87" i="36"/>
  <c r="AH87" i="36"/>
  <c r="AJ87" i="36"/>
  <c r="AL87" i="36"/>
  <c r="O39" i="36"/>
  <c r="N38" i="36"/>
  <c r="F88" i="36"/>
  <c r="F39" i="36"/>
  <c r="V36" i="36"/>
  <c r="B90" i="36"/>
  <c r="B41" i="36"/>
  <c r="R41" i="36"/>
  <c r="T40" i="36"/>
  <c r="F90" i="12"/>
  <c r="F41" i="12"/>
  <c r="T46" i="12"/>
  <c r="R47" i="12"/>
  <c r="U33" i="23"/>
  <c r="U37" i="23"/>
  <c r="W30" i="23"/>
  <c r="Y33" i="30"/>
  <c r="Y37" i="30"/>
  <c r="AA30" i="30"/>
  <c r="F91" i="37"/>
  <c r="F42" i="37"/>
  <c r="B89" i="37"/>
  <c r="B40" i="37"/>
  <c r="V46" i="37"/>
  <c r="R41" i="37"/>
  <c r="T40" i="37"/>
  <c r="AX47" i="37"/>
  <c r="AN47" i="37"/>
  <c r="AB47" i="37"/>
  <c r="R97" i="37"/>
  <c r="J97" i="37"/>
  <c r="AP47" i="37"/>
  <c r="AL47" i="37"/>
  <c r="Z47" i="37"/>
  <c r="AH47" i="37"/>
  <c r="AF47" i="37"/>
  <c r="AD47" i="37"/>
  <c r="N97" i="37"/>
  <c r="AR47" i="37"/>
  <c r="AJ47" i="37"/>
  <c r="X47" i="37"/>
  <c r="L97" i="37"/>
  <c r="AV47" i="37"/>
  <c r="AZ47" i="37"/>
  <c r="P97" i="37"/>
  <c r="AT47" i="37"/>
  <c r="T97" i="37"/>
  <c r="V97" i="37"/>
  <c r="X97" i="37"/>
  <c r="Z97" i="37"/>
  <c r="AB97" i="37"/>
  <c r="AD97" i="37"/>
  <c r="AF97" i="37"/>
  <c r="AH97" i="37"/>
  <c r="AJ97" i="37"/>
  <c r="AL97" i="37"/>
  <c r="O49" i="37"/>
  <c r="N48" i="37"/>
  <c r="O40" i="36"/>
  <c r="N39" i="36"/>
  <c r="V37" i="36"/>
  <c r="R42" i="36"/>
  <c r="T41" i="36"/>
  <c r="B42" i="36"/>
  <c r="B91" i="36"/>
  <c r="F89" i="36"/>
  <c r="F40" i="36"/>
  <c r="AP38" i="36"/>
  <c r="AF38" i="36"/>
  <c r="AD38" i="36"/>
  <c r="AB38" i="36"/>
  <c r="AX38" i="36"/>
  <c r="AZ38" i="36"/>
  <c r="AV38" i="36"/>
  <c r="AT38" i="36"/>
  <c r="R88" i="36"/>
  <c r="AR38" i="36"/>
  <c r="N88" i="36"/>
  <c r="AL38" i="36"/>
  <c r="L88" i="36"/>
  <c r="AJ38" i="36"/>
  <c r="J88" i="36"/>
  <c r="P88" i="36"/>
  <c r="AN38" i="36"/>
  <c r="AH38" i="36"/>
  <c r="Z38" i="36"/>
  <c r="X38" i="36"/>
  <c r="T88" i="36"/>
  <c r="V88" i="36"/>
  <c r="X88" i="36"/>
  <c r="Z88" i="36"/>
  <c r="AB88" i="36"/>
  <c r="AD88" i="36"/>
  <c r="AF88" i="36"/>
  <c r="AH88" i="36"/>
  <c r="AJ88" i="36"/>
  <c r="AL88" i="36"/>
  <c r="F42" i="12"/>
  <c r="F91" i="12"/>
  <c r="R48" i="12"/>
  <c r="T47" i="12"/>
  <c r="AA33" i="30"/>
  <c r="AA37" i="30"/>
  <c r="AC30" i="30"/>
  <c r="W33" i="23"/>
  <c r="W37" i="23"/>
  <c r="Y30" i="23"/>
  <c r="N49" i="37"/>
  <c r="O50" i="37"/>
  <c r="N50" i="37"/>
  <c r="T41" i="37"/>
  <c r="R42" i="37"/>
  <c r="B90" i="37"/>
  <c r="B41" i="37"/>
  <c r="AP48" i="37"/>
  <c r="J98" i="37"/>
  <c r="AV48" i="37"/>
  <c r="AH48" i="37"/>
  <c r="AR48" i="37"/>
  <c r="AN48" i="37"/>
  <c r="L98" i="37"/>
  <c r="AB48" i="37"/>
  <c r="AX48" i="37"/>
  <c r="AT48" i="37"/>
  <c r="AL48" i="37"/>
  <c r="Z48" i="37"/>
  <c r="AJ48" i="37"/>
  <c r="R98" i="37"/>
  <c r="AF48" i="37"/>
  <c r="AD48" i="37"/>
  <c r="P98" i="37"/>
  <c r="AZ48" i="37"/>
  <c r="X48" i="37"/>
  <c r="N98" i="37"/>
  <c r="T98" i="37"/>
  <c r="V98" i="37"/>
  <c r="X98" i="37"/>
  <c r="Z98" i="37"/>
  <c r="AB98" i="37"/>
  <c r="AD98" i="37"/>
  <c r="AF98" i="37"/>
  <c r="AH98" i="37"/>
  <c r="AJ98" i="37"/>
  <c r="AL98" i="37"/>
  <c r="V47" i="37"/>
  <c r="F92" i="37"/>
  <c r="F43" i="37"/>
  <c r="F90" i="36"/>
  <c r="F41" i="36"/>
  <c r="R43" i="36"/>
  <c r="T42" i="36"/>
  <c r="AH39" i="36"/>
  <c r="AX39" i="36"/>
  <c r="AB39" i="36"/>
  <c r="Z39" i="36"/>
  <c r="X39" i="36"/>
  <c r="AZ39" i="36"/>
  <c r="J89" i="36"/>
  <c r="AL39" i="36"/>
  <c r="R89" i="36"/>
  <c r="AJ39" i="36"/>
  <c r="P89" i="36"/>
  <c r="AF39" i="36"/>
  <c r="N89" i="36"/>
  <c r="AD39" i="36"/>
  <c r="L89" i="36"/>
  <c r="AP39" i="36"/>
  <c r="AV39" i="36"/>
  <c r="AT39" i="36"/>
  <c r="AR39" i="36"/>
  <c r="AN39" i="36"/>
  <c r="T89" i="36"/>
  <c r="V89" i="36"/>
  <c r="X89" i="36"/>
  <c r="Z89" i="36"/>
  <c r="AB89" i="36"/>
  <c r="AD89" i="36"/>
  <c r="AF89" i="36"/>
  <c r="AH89" i="36"/>
  <c r="AJ89" i="36"/>
  <c r="AL89" i="36"/>
  <c r="V38" i="36"/>
  <c r="B43" i="36"/>
  <c r="B92" i="36"/>
  <c r="O41" i="36"/>
  <c r="N40" i="36"/>
  <c r="F43" i="12"/>
  <c r="F92" i="12"/>
  <c r="R49" i="12"/>
  <c r="T48" i="12"/>
  <c r="AC33" i="30"/>
  <c r="AC37" i="30"/>
  <c r="AE30" i="30"/>
  <c r="Y33" i="23"/>
  <c r="Y37" i="23"/>
  <c r="AA30" i="23"/>
  <c r="F93" i="37"/>
  <c r="F44" i="37"/>
  <c r="B91" i="37"/>
  <c r="B42" i="37"/>
  <c r="T42" i="37"/>
  <c r="R43" i="37"/>
  <c r="V48" i="37"/>
  <c r="Z50" i="37"/>
  <c r="Z52" i="37"/>
  <c r="AJ50" i="37"/>
  <c r="J100" i="37"/>
  <c r="AZ50" i="37"/>
  <c r="AZ52" i="37"/>
  <c r="AR50" i="37"/>
  <c r="AR52" i="37"/>
  <c r="AP50" i="37"/>
  <c r="AD50" i="37"/>
  <c r="AD52" i="37"/>
  <c r="AV50" i="37"/>
  <c r="AV52" i="37"/>
  <c r="AH50" i="37"/>
  <c r="AF50" i="37"/>
  <c r="AF52" i="37"/>
  <c r="AB50" i="37"/>
  <c r="AB52" i="37"/>
  <c r="X50" i="37"/>
  <c r="AN50" i="37"/>
  <c r="AN52" i="37"/>
  <c r="R100" i="37"/>
  <c r="P100" i="37"/>
  <c r="AL50" i="37"/>
  <c r="N100" i="37"/>
  <c r="N102" i="37"/>
  <c r="L100" i="37"/>
  <c r="AX50" i="37"/>
  <c r="AT50" i="37"/>
  <c r="T100" i="37"/>
  <c r="V100" i="37"/>
  <c r="X100" i="37"/>
  <c r="Z100" i="37"/>
  <c r="Z102" i="37"/>
  <c r="AB100" i="37"/>
  <c r="AB102" i="37"/>
  <c r="AD100" i="37"/>
  <c r="AD102" i="37"/>
  <c r="AF100" i="37"/>
  <c r="AF102" i="37"/>
  <c r="AH100" i="37"/>
  <c r="AH102" i="37"/>
  <c r="AJ100" i="37"/>
  <c r="AJ102" i="37"/>
  <c r="AL100" i="37"/>
  <c r="AL102" i="37"/>
  <c r="AH49" i="37"/>
  <c r="P99" i="37"/>
  <c r="AP49" i="37"/>
  <c r="N99" i="37"/>
  <c r="AB49" i="37"/>
  <c r="AR49" i="37"/>
  <c r="AN49" i="37"/>
  <c r="Z49" i="37"/>
  <c r="L99" i="37"/>
  <c r="AZ49" i="37"/>
  <c r="AX49" i="37"/>
  <c r="AJ49" i="37"/>
  <c r="AV49" i="37"/>
  <c r="AL49" i="37"/>
  <c r="AF49" i="37"/>
  <c r="AD49" i="37"/>
  <c r="X49" i="37"/>
  <c r="R99" i="37"/>
  <c r="J99" i="37"/>
  <c r="AT49" i="37"/>
  <c r="T99" i="37"/>
  <c r="V99" i="37"/>
  <c r="X99" i="37"/>
  <c r="Z99" i="37"/>
  <c r="AB99" i="37"/>
  <c r="AD99" i="37"/>
  <c r="AF99" i="37"/>
  <c r="AH99" i="37"/>
  <c r="AJ99" i="37"/>
  <c r="AL99" i="37"/>
  <c r="J90" i="36"/>
  <c r="Z40" i="36"/>
  <c r="AP40" i="36"/>
  <c r="X40" i="36"/>
  <c r="R90" i="36"/>
  <c r="N90" i="36"/>
  <c r="P90" i="36"/>
  <c r="L90" i="36"/>
  <c r="AJ40" i="36"/>
  <c r="AH40" i="36"/>
  <c r="AF40" i="36"/>
  <c r="AB40" i="36"/>
  <c r="AD40" i="36"/>
  <c r="AV40" i="36"/>
  <c r="AT40" i="36"/>
  <c r="AR40" i="36"/>
  <c r="AL40" i="36"/>
  <c r="AX40" i="36"/>
  <c r="AN40" i="36"/>
  <c r="AZ40" i="36"/>
  <c r="T90" i="36"/>
  <c r="V90" i="36"/>
  <c r="X90" i="36"/>
  <c r="Z90" i="36"/>
  <c r="AB90" i="36"/>
  <c r="AD90" i="36"/>
  <c r="AF90" i="36"/>
  <c r="AH90" i="36"/>
  <c r="AJ90" i="36"/>
  <c r="AL90" i="36"/>
  <c r="B44" i="36"/>
  <c r="B93" i="36"/>
  <c r="F91" i="36"/>
  <c r="F42" i="36"/>
  <c r="O42" i="36"/>
  <c r="N41" i="36"/>
  <c r="V39" i="36"/>
  <c r="T43" i="36"/>
  <c r="R44" i="36"/>
  <c r="F93" i="12"/>
  <c r="F44" i="12"/>
  <c r="T49" i="12"/>
  <c r="R50" i="12"/>
  <c r="T50" i="12"/>
  <c r="T52" i="12"/>
  <c r="AA33" i="23"/>
  <c r="AA37" i="23"/>
  <c r="AC30" i="23"/>
  <c r="AE33" i="30"/>
  <c r="AE37" i="30"/>
  <c r="AG30" i="30"/>
  <c r="J102" i="37"/>
  <c r="V49" i="37"/>
  <c r="V102" i="37"/>
  <c r="AP52" i="37"/>
  <c r="R44" i="37"/>
  <c r="T43" i="37"/>
  <c r="AL52" i="37"/>
  <c r="X102" i="37"/>
  <c r="T102" i="37"/>
  <c r="L102" i="37"/>
  <c r="B92" i="37"/>
  <c r="B43" i="37"/>
  <c r="P102" i="37"/>
  <c r="F45" i="37"/>
  <c r="F94" i="37"/>
  <c r="V50" i="37"/>
  <c r="V52" i="37"/>
  <c r="X52" i="37"/>
  <c r="AH52" i="37"/>
  <c r="AJ52" i="37"/>
  <c r="AT52" i="37"/>
  <c r="AX52" i="37"/>
  <c r="R102" i="37"/>
  <c r="T44" i="36"/>
  <c r="R45" i="36"/>
  <c r="L91" i="36"/>
  <c r="AH41" i="36"/>
  <c r="N91" i="36"/>
  <c r="J91" i="36"/>
  <c r="AT41" i="36"/>
  <c r="AL41" i="36"/>
  <c r="AR41" i="36"/>
  <c r="AJ41" i="36"/>
  <c r="AP41" i="36"/>
  <c r="AN41" i="36"/>
  <c r="AB41" i="36"/>
  <c r="Z41" i="36"/>
  <c r="X41" i="36"/>
  <c r="R91" i="36"/>
  <c r="P91" i="36"/>
  <c r="AV41" i="36"/>
  <c r="AZ41" i="36"/>
  <c r="AF41" i="36"/>
  <c r="AD41" i="36"/>
  <c r="AX41" i="36"/>
  <c r="T91" i="36"/>
  <c r="V91" i="36"/>
  <c r="X91" i="36"/>
  <c r="Z91" i="36"/>
  <c r="AB91" i="36"/>
  <c r="AD91" i="36"/>
  <c r="AF91" i="36"/>
  <c r="AH91" i="36"/>
  <c r="AJ91" i="36"/>
  <c r="AL91" i="36"/>
  <c r="O43" i="36"/>
  <c r="N42" i="36"/>
  <c r="B45" i="36"/>
  <c r="B94" i="36"/>
  <c r="F43" i="36"/>
  <c r="F92" i="36"/>
  <c r="V40" i="36"/>
  <c r="F45" i="12"/>
  <c r="F94" i="12"/>
  <c r="AG33" i="30"/>
  <c r="AG37" i="30"/>
  <c r="AI30" i="30"/>
  <c r="AC33" i="23"/>
  <c r="AC37" i="23"/>
  <c r="AE30" i="23"/>
  <c r="B93" i="37"/>
  <c r="B44" i="37"/>
  <c r="F46" i="37"/>
  <c r="F95" i="37"/>
  <c r="T44" i="37"/>
  <c r="R45" i="37"/>
  <c r="V41" i="36"/>
  <c r="R46" i="36"/>
  <c r="T45" i="36"/>
  <c r="F44" i="36"/>
  <c r="F93" i="36"/>
  <c r="B95" i="36"/>
  <c r="B46" i="36"/>
  <c r="N92" i="36"/>
  <c r="AX42" i="36"/>
  <c r="Z42" i="36"/>
  <c r="R92" i="36"/>
  <c r="P92" i="36"/>
  <c r="L92" i="36"/>
  <c r="AZ42" i="36"/>
  <c r="AR42" i="36"/>
  <c r="AP42" i="36"/>
  <c r="AV42" i="36"/>
  <c r="J92" i="36"/>
  <c r="AT42" i="36"/>
  <c r="AH42" i="36"/>
  <c r="AD42" i="36"/>
  <c r="AB42" i="36"/>
  <c r="AJ42" i="36"/>
  <c r="AF42" i="36"/>
  <c r="X42" i="36"/>
  <c r="AN42" i="36"/>
  <c r="AL42" i="36"/>
  <c r="T92" i="36"/>
  <c r="V92" i="36"/>
  <c r="X92" i="36"/>
  <c r="Z92" i="36"/>
  <c r="AB92" i="36"/>
  <c r="AD92" i="36"/>
  <c r="AF92" i="36"/>
  <c r="AH92" i="36"/>
  <c r="AJ92" i="36"/>
  <c r="AL92" i="36"/>
  <c r="O44" i="36"/>
  <c r="N43" i="36"/>
  <c r="F46" i="12"/>
  <c r="F95" i="12"/>
  <c r="AE33" i="23"/>
  <c r="AE37" i="23"/>
  <c r="AG30" i="23"/>
  <c r="AI33" i="30"/>
  <c r="AI37" i="30"/>
  <c r="AK30" i="30"/>
  <c r="F47" i="37"/>
  <c r="F96" i="37"/>
  <c r="R46" i="37"/>
  <c r="T45" i="37"/>
  <c r="B94" i="37"/>
  <c r="B45" i="37"/>
  <c r="V42" i="36"/>
  <c r="P93" i="36"/>
  <c r="AP43" i="36"/>
  <c r="AZ43" i="36"/>
  <c r="AB43" i="36"/>
  <c r="R93" i="36"/>
  <c r="AX43" i="36"/>
  <c r="AV43" i="36"/>
  <c r="Z43" i="36"/>
  <c r="X43" i="36"/>
  <c r="N93" i="36"/>
  <c r="L93" i="36"/>
  <c r="J93" i="36"/>
  <c r="AT43" i="36"/>
  <c r="AL43" i="36"/>
  <c r="AJ43" i="36"/>
  <c r="AH43" i="36"/>
  <c r="AD43" i="36"/>
  <c r="AR43" i="36"/>
  <c r="AN43" i="36"/>
  <c r="AF43" i="36"/>
  <c r="T93" i="36"/>
  <c r="V93" i="36"/>
  <c r="X93" i="36"/>
  <c r="Z93" i="36"/>
  <c r="AB93" i="36"/>
  <c r="AD93" i="36"/>
  <c r="AF93" i="36"/>
  <c r="AH93" i="36"/>
  <c r="AJ93" i="36"/>
  <c r="AL93" i="36"/>
  <c r="O45" i="36"/>
  <c r="N44" i="36"/>
  <c r="B96" i="36"/>
  <c r="B47" i="36"/>
  <c r="F45" i="36"/>
  <c r="F94" i="36"/>
  <c r="T46" i="36"/>
  <c r="R47" i="36"/>
  <c r="F47" i="12"/>
  <c r="F96" i="12"/>
  <c r="AK33" i="30"/>
  <c r="AK37" i="30"/>
  <c r="AG33" i="23"/>
  <c r="AG37" i="23"/>
  <c r="AI30" i="23"/>
  <c r="B46" i="37"/>
  <c r="B95" i="37"/>
  <c r="T46" i="37"/>
  <c r="R47" i="37"/>
  <c r="F48" i="37"/>
  <c r="F97" i="37"/>
  <c r="F46" i="36"/>
  <c r="F95" i="36"/>
  <c r="R48" i="36"/>
  <c r="T47" i="36"/>
  <c r="R94" i="36"/>
  <c r="AH44" i="36"/>
  <c r="AX44" i="36"/>
  <c r="AZ44" i="36"/>
  <c r="X44" i="36"/>
  <c r="P94" i="36"/>
  <c r="N94" i="36"/>
  <c r="J94" i="36"/>
  <c r="AD44" i="36"/>
  <c r="AB44" i="36"/>
  <c r="Z44" i="36"/>
  <c r="AL44" i="36"/>
  <c r="AJ44" i="36"/>
  <c r="AV44" i="36"/>
  <c r="AT44" i="36"/>
  <c r="AR44" i="36"/>
  <c r="AF44" i="36"/>
  <c r="AP44" i="36"/>
  <c r="AN44" i="36"/>
  <c r="L94" i="36"/>
  <c r="T94" i="36"/>
  <c r="V94" i="36"/>
  <c r="X94" i="36"/>
  <c r="Z94" i="36"/>
  <c r="AB94" i="36"/>
  <c r="AD94" i="36"/>
  <c r="AF94" i="36"/>
  <c r="AH94" i="36"/>
  <c r="AJ94" i="36"/>
  <c r="AL94" i="36"/>
  <c r="O46" i="36"/>
  <c r="N45" i="36"/>
  <c r="V43" i="36"/>
  <c r="B97" i="36"/>
  <c r="B48" i="36"/>
  <c r="F48" i="12"/>
  <c r="F97" i="12"/>
  <c r="AI33" i="23"/>
  <c r="AI37" i="23"/>
  <c r="AK30" i="23"/>
  <c r="F49" i="37"/>
  <c r="F98" i="37"/>
  <c r="T47" i="37"/>
  <c r="R48" i="37"/>
  <c r="B96" i="37"/>
  <c r="B47" i="37"/>
  <c r="O47" i="36"/>
  <c r="N46" i="36"/>
  <c r="B98" i="36"/>
  <c r="B49" i="36"/>
  <c r="Z45" i="36"/>
  <c r="AP45" i="36"/>
  <c r="AZ45" i="36"/>
  <c r="AX45" i="36"/>
  <c r="AV45" i="36"/>
  <c r="AB45" i="36"/>
  <c r="X45" i="36"/>
  <c r="AR45" i="36"/>
  <c r="AN45" i="36"/>
  <c r="AF45" i="36"/>
  <c r="AL45" i="36"/>
  <c r="AH45" i="36"/>
  <c r="AJ45" i="36"/>
  <c r="R95" i="36"/>
  <c r="P95" i="36"/>
  <c r="N95" i="36"/>
  <c r="L95" i="36"/>
  <c r="AD45" i="36"/>
  <c r="AT45" i="36"/>
  <c r="J95" i="36"/>
  <c r="T95" i="36"/>
  <c r="V95" i="36"/>
  <c r="X95" i="36"/>
  <c r="Z95" i="36"/>
  <c r="AB95" i="36"/>
  <c r="AD95" i="36"/>
  <c r="AF95" i="36"/>
  <c r="AH95" i="36"/>
  <c r="AJ95" i="36"/>
  <c r="AL95" i="36"/>
  <c r="V44" i="36"/>
  <c r="T48" i="36"/>
  <c r="R49" i="36"/>
  <c r="F96" i="36"/>
  <c r="F47" i="36"/>
  <c r="F49" i="12"/>
  <c r="F98" i="12"/>
  <c r="AK33" i="23"/>
  <c r="AK37" i="23"/>
  <c r="B48" i="37"/>
  <c r="B97" i="37"/>
  <c r="T48" i="37"/>
  <c r="R49" i="37"/>
  <c r="F99" i="37"/>
  <c r="F50" i="37"/>
  <c r="F100" i="37"/>
  <c r="R50" i="36"/>
  <c r="T50" i="36"/>
  <c r="T49" i="36"/>
  <c r="B50" i="36"/>
  <c r="B100" i="36"/>
  <c r="B99" i="36"/>
  <c r="AH46" i="36"/>
  <c r="AV46" i="36"/>
  <c r="AT46" i="36"/>
  <c r="AR46" i="36"/>
  <c r="J96" i="36"/>
  <c r="AD46" i="36"/>
  <c r="Z46" i="36"/>
  <c r="AB46" i="36"/>
  <c r="X46" i="36"/>
  <c r="N96" i="36"/>
  <c r="AX46" i="36"/>
  <c r="L96" i="36"/>
  <c r="AZ46" i="36"/>
  <c r="R96" i="36"/>
  <c r="AP46" i="36"/>
  <c r="P96" i="36"/>
  <c r="AN46" i="36"/>
  <c r="AL46" i="36"/>
  <c r="AJ46" i="36"/>
  <c r="AF46" i="36"/>
  <c r="T96" i="36"/>
  <c r="V96" i="36"/>
  <c r="X96" i="36"/>
  <c r="Z96" i="36"/>
  <c r="AB96" i="36"/>
  <c r="AD96" i="36"/>
  <c r="AF96" i="36"/>
  <c r="AH96" i="36"/>
  <c r="AJ96" i="36"/>
  <c r="AL96" i="36"/>
  <c r="F97" i="36"/>
  <c r="F48" i="36"/>
  <c r="V45" i="36"/>
  <c r="O48" i="36"/>
  <c r="N47" i="36"/>
  <c r="F99" i="12"/>
  <c r="F50" i="12"/>
  <c r="F100" i="12"/>
  <c r="R50" i="37"/>
  <c r="T50" i="37"/>
  <c r="T49" i="37"/>
  <c r="B49" i="37"/>
  <c r="B98" i="37"/>
  <c r="N48" i="36"/>
  <c r="O49" i="36"/>
  <c r="F98" i="36"/>
  <c r="F49" i="36"/>
  <c r="AX47" i="36"/>
  <c r="Z47" i="36"/>
  <c r="AR47" i="36"/>
  <c r="AP47" i="36"/>
  <c r="AN47" i="36"/>
  <c r="AH47" i="36"/>
  <c r="P97" i="36"/>
  <c r="AD47" i="36"/>
  <c r="R97" i="36"/>
  <c r="AF47" i="36"/>
  <c r="N97" i="36"/>
  <c r="AB47" i="36"/>
  <c r="L97" i="36"/>
  <c r="AZ47" i="36"/>
  <c r="J97" i="36"/>
  <c r="AV47" i="36"/>
  <c r="AT47" i="36"/>
  <c r="AJ47" i="36"/>
  <c r="AL47" i="36"/>
  <c r="X47" i="36"/>
  <c r="T97" i="36"/>
  <c r="V97" i="36"/>
  <c r="X97" i="36"/>
  <c r="Z97" i="36"/>
  <c r="AB97" i="36"/>
  <c r="AD97" i="36"/>
  <c r="AF97" i="36"/>
  <c r="AH97" i="36"/>
  <c r="AJ97" i="36"/>
  <c r="AL97" i="36"/>
  <c r="V46" i="36"/>
  <c r="T52" i="36"/>
  <c r="B50" i="37"/>
  <c r="B100" i="37"/>
  <c r="B99" i="37"/>
  <c r="T52" i="37"/>
  <c r="F50" i="36"/>
  <c r="F100" i="36"/>
  <c r="F99" i="36"/>
  <c r="O50" i="36"/>
  <c r="N50" i="36"/>
  <c r="N49" i="36"/>
  <c r="V47" i="36"/>
  <c r="AP48" i="36"/>
  <c r="N98" i="36"/>
  <c r="AN48" i="36"/>
  <c r="L98" i="36"/>
  <c r="AL48" i="36"/>
  <c r="J98" i="36"/>
  <c r="AJ48" i="36"/>
  <c r="AR48" i="36"/>
  <c r="AF48" i="36"/>
  <c r="AH48" i="36"/>
  <c r="AD48" i="36"/>
  <c r="Z48" i="36"/>
  <c r="X48" i="36"/>
  <c r="AZ48" i="36"/>
  <c r="AX48" i="36"/>
  <c r="R98" i="36"/>
  <c r="AV48" i="36"/>
  <c r="P98" i="36"/>
  <c r="AT48" i="36"/>
  <c r="AB48" i="36"/>
  <c r="T98" i="36"/>
  <c r="V98" i="36"/>
  <c r="X98" i="36"/>
  <c r="Z98" i="36"/>
  <c r="AB98" i="36"/>
  <c r="AD98" i="36"/>
  <c r="AF98" i="36"/>
  <c r="AH98" i="36"/>
  <c r="AJ98" i="36"/>
  <c r="AL98" i="36"/>
  <c r="AH49" i="36"/>
  <c r="AX49" i="36"/>
  <c r="R99" i="36"/>
  <c r="AL49" i="36"/>
  <c r="P99" i="36"/>
  <c r="AJ49" i="36"/>
  <c r="N99" i="36"/>
  <c r="AF49" i="36"/>
  <c r="L99" i="36"/>
  <c r="AT49" i="36"/>
  <c r="AP49" i="36"/>
  <c r="AR49" i="36"/>
  <c r="AN49" i="36"/>
  <c r="AZ49" i="36"/>
  <c r="Z49" i="36"/>
  <c r="AV49" i="36"/>
  <c r="J99" i="36"/>
  <c r="AD49" i="36"/>
  <c r="AB49" i="36"/>
  <c r="X49" i="36"/>
  <c r="V49" i="36"/>
  <c r="T99" i="36"/>
  <c r="V99" i="36"/>
  <c r="X99" i="36"/>
  <c r="Z99" i="36"/>
  <c r="AB99" i="36"/>
  <c r="AD99" i="36"/>
  <c r="AF99" i="36"/>
  <c r="AH99" i="36"/>
  <c r="AJ99" i="36"/>
  <c r="AL99" i="36"/>
  <c r="V48" i="36"/>
  <c r="Z50" i="36"/>
  <c r="AP50" i="36"/>
  <c r="AP52" i="36"/>
  <c r="AH50" i="36"/>
  <c r="AH52" i="36"/>
  <c r="AF50" i="36"/>
  <c r="AF52" i="36"/>
  <c r="AD50" i="36"/>
  <c r="J100" i="36"/>
  <c r="J102" i="36"/>
  <c r="AX50" i="36"/>
  <c r="AX52" i="36"/>
  <c r="AT50" i="36"/>
  <c r="AT52" i="36"/>
  <c r="AV50" i="36"/>
  <c r="AV52" i="36"/>
  <c r="AR50" i="36"/>
  <c r="AL50" i="36"/>
  <c r="P100" i="36"/>
  <c r="N100" i="36"/>
  <c r="L100" i="36"/>
  <c r="AJ50" i="36"/>
  <c r="AJ52" i="36"/>
  <c r="R100" i="36"/>
  <c r="R102" i="36"/>
  <c r="AB50" i="36"/>
  <c r="X50" i="36"/>
  <c r="AZ50" i="36"/>
  <c r="AN50" i="36"/>
  <c r="T100" i="36"/>
  <c r="T102" i="36"/>
  <c r="V100" i="36"/>
  <c r="V102" i="36"/>
  <c r="X100" i="36"/>
  <c r="X102" i="36"/>
  <c r="Z100" i="36"/>
  <c r="Z102" i="36"/>
  <c r="AB100" i="36"/>
  <c r="AB102" i="36"/>
  <c r="AD100" i="36"/>
  <c r="AD102" i="36"/>
  <c r="AF100" i="36"/>
  <c r="AF102" i="36"/>
  <c r="AH100" i="36"/>
  <c r="AH102" i="36"/>
  <c r="AJ100" i="36"/>
  <c r="AJ102" i="36"/>
  <c r="AL100" i="36"/>
  <c r="AD52" i="36"/>
  <c r="AZ52" i="36"/>
  <c r="Z52" i="36"/>
  <c r="AB52" i="36"/>
  <c r="N102" i="36"/>
  <c r="AL52" i="36"/>
  <c r="AN52" i="36"/>
  <c r="V50" i="36"/>
  <c r="V52" i="36"/>
  <c r="X52" i="36"/>
  <c r="L102" i="36"/>
  <c r="P102" i="36"/>
  <c r="AL102" i="36"/>
  <c r="AR52" i="36"/>
  <c r="H5" i="36"/>
  <c r="H5" i="37"/>
  <c r="G7" i="29"/>
  <c r="G7" i="7"/>
  <c r="G7" i="15"/>
  <c r="G9" i="30"/>
  <c r="G7" i="28"/>
  <c r="Z7" i="12"/>
  <c r="AB7" i="12"/>
  <c r="AD7" i="12"/>
  <c r="AF7" i="12"/>
  <c r="AH7" i="12"/>
  <c r="AJ7" i="12"/>
  <c r="AL7" i="12"/>
  <c r="AN7" i="12"/>
  <c r="AP7" i="12"/>
  <c r="AR7" i="12"/>
  <c r="AT7" i="12"/>
  <c r="AV7" i="12"/>
  <c r="AX7" i="12"/>
  <c r="AZ7" i="12"/>
  <c r="J57" i="12"/>
  <c r="L57" i="12"/>
  <c r="N57" i="12"/>
  <c r="P57" i="12"/>
  <c r="R57" i="12"/>
  <c r="T57" i="12"/>
  <c r="V57" i="12"/>
  <c r="X57" i="12"/>
  <c r="Z57" i="12"/>
  <c r="AB57" i="12"/>
  <c r="AD57" i="12"/>
  <c r="AF57" i="12"/>
  <c r="AH57" i="12"/>
  <c r="AJ57" i="12"/>
  <c r="AL57" i="12"/>
  <c r="W10" i="15"/>
  <c r="Y10" i="15"/>
  <c r="AA10" i="15"/>
  <c r="AC10" i="15"/>
  <c r="AE10" i="15"/>
  <c r="AG10" i="15"/>
  <c r="AI10" i="15"/>
  <c r="AK10" i="15"/>
  <c r="AM10" i="15"/>
  <c r="AO10" i="15"/>
  <c r="AQ10" i="15"/>
  <c r="AS10" i="15"/>
  <c r="AU10" i="15"/>
  <c r="AW10" i="15"/>
  <c r="AY10" i="15"/>
  <c r="I43" i="15"/>
  <c r="K43" i="15"/>
  <c r="M43" i="15"/>
  <c r="O43" i="15"/>
  <c r="Q43" i="15"/>
  <c r="S43" i="15"/>
  <c r="U43" i="15"/>
  <c r="W43" i="15"/>
  <c r="Y43" i="15"/>
  <c r="AA43" i="15"/>
  <c r="AC43" i="15"/>
  <c r="AE43" i="15"/>
  <c r="AG43" i="15"/>
  <c r="AI43" i="15"/>
  <c r="AK43" i="15"/>
  <c r="W10" i="28"/>
  <c r="Y10" i="28"/>
  <c r="AA10" i="28"/>
  <c r="AC10" i="28"/>
  <c r="AE10" i="28"/>
  <c r="AG10" i="28"/>
  <c r="AI10" i="28"/>
  <c r="AK10" i="28"/>
  <c r="AM10" i="28"/>
  <c r="AO10" i="28"/>
  <c r="AQ10" i="28"/>
  <c r="AS10" i="28"/>
  <c r="AU10" i="28"/>
  <c r="AW10" i="28"/>
  <c r="AY10" i="28"/>
  <c r="I43" i="28"/>
  <c r="K43" i="28"/>
  <c r="M43" i="28"/>
  <c r="O43" i="28"/>
  <c r="Q43" i="28"/>
  <c r="S43" i="28"/>
  <c r="U43" i="28"/>
  <c r="W43" i="28"/>
  <c r="Y43" i="28"/>
  <c r="AA43" i="28"/>
  <c r="AC43" i="28"/>
  <c r="AE43" i="28"/>
  <c r="AG43" i="28"/>
  <c r="AI43" i="28"/>
  <c r="AK43" i="28"/>
  <c r="B7" i="32"/>
  <c r="B8" i="32"/>
  <c r="B9" i="32"/>
  <c r="B10" i="32"/>
  <c r="B11" i="32"/>
  <c r="B12" i="32"/>
  <c r="D7" i="32"/>
  <c r="D8" i="32"/>
  <c r="D9" i="32"/>
  <c r="D10" i="32"/>
  <c r="D11" i="32"/>
  <c r="D12" i="32"/>
  <c r="F7" i="32"/>
  <c r="F8" i="32"/>
  <c r="F9" i="32"/>
  <c r="F10" i="32"/>
  <c r="F11" i="32"/>
  <c r="F12" i="32"/>
  <c r="H7" i="32"/>
  <c r="H8" i="32"/>
  <c r="H9" i="32"/>
  <c r="H10" i="32"/>
  <c r="H11" i="32"/>
  <c r="H12" i="32"/>
  <c r="J7" i="32"/>
  <c r="J8" i="32"/>
  <c r="J9" i="32"/>
  <c r="J10" i="32"/>
  <c r="J11" i="32"/>
  <c r="J12" i="32"/>
  <c r="Z7" i="36"/>
  <c r="AB7" i="36"/>
  <c r="AD7" i="36"/>
  <c r="AF7" i="36"/>
  <c r="AH7" i="36"/>
  <c r="AJ7" i="36"/>
  <c r="AL7" i="36"/>
  <c r="AN7" i="36"/>
  <c r="AP7" i="36"/>
  <c r="AR7" i="36"/>
  <c r="AT7" i="36"/>
  <c r="AV7" i="36"/>
  <c r="AX7" i="36"/>
  <c r="AZ7" i="36"/>
  <c r="J57" i="36"/>
  <c r="L57" i="36"/>
  <c r="N57" i="36"/>
  <c r="P57" i="36"/>
  <c r="R57" i="36"/>
  <c r="T57" i="36"/>
  <c r="V57" i="36"/>
  <c r="X57" i="36"/>
  <c r="Z57" i="36"/>
  <c r="AB57" i="36"/>
  <c r="AD57" i="36"/>
  <c r="AF57" i="36"/>
  <c r="AH57" i="36"/>
  <c r="AJ57" i="36"/>
  <c r="AL57" i="36"/>
  <c r="Z7" i="37"/>
  <c r="AB7" i="37"/>
  <c r="AD7" i="37"/>
  <c r="AF7" i="37"/>
  <c r="AH7" i="37"/>
  <c r="AJ7" i="37"/>
  <c r="AL7" i="37"/>
  <c r="AN7" i="37"/>
  <c r="AP7" i="37"/>
  <c r="AR7" i="37"/>
  <c r="AT7" i="37"/>
  <c r="AV7" i="37"/>
  <c r="AX7" i="37"/>
  <c r="AZ7" i="37"/>
  <c r="J57" i="37"/>
  <c r="L57" i="37"/>
  <c r="N57" i="37"/>
  <c r="P57" i="37"/>
  <c r="R57" i="37"/>
  <c r="T57" i="37"/>
  <c r="V57" i="37"/>
  <c r="X57" i="37"/>
  <c r="Z57" i="37"/>
  <c r="AB57" i="37"/>
  <c r="AD57" i="37"/>
  <c r="AF57" i="37"/>
  <c r="AH57" i="37"/>
  <c r="AJ57" i="37"/>
  <c r="AL57" i="37"/>
  <c r="O16" i="7"/>
  <c r="O40" i="7"/>
  <c r="O43" i="7"/>
  <c r="O46" i="7"/>
  <c r="O31" i="7"/>
  <c r="O53" i="7"/>
  <c r="O19" i="7"/>
  <c r="O30" i="7"/>
  <c r="O28" i="7"/>
  <c r="O17" i="7"/>
  <c r="O29" i="7"/>
  <c r="O37" i="7"/>
  <c r="O15" i="7"/>
  <c r="O36" i="7"/>
  <c r="O20" i="7"/>
  <c r="O22" i="7"/>
  <c r="O50" i="7"/>
  <c r="O51" i="7"/>
  <c r="O42" i="7"/>
  <c r="O44" i="7"/>
  <c r="O23" i="7"/>
  <c r="O54" i="7"/>
  <c r="W10" i="7"/>
  <c r="O14" i="7"/>
  <c r="O17" i="29"/>
  <c r="O15" i="29"/>
  <c r="O30" i="29"/>
  <c r="O22" i="29"/>
  <c r="O27" i="29"/>
  <c r="O29" i="29"/>
  <c r="O18" i="29"/>
  <c r="O20" i="29"/>
  <c r="O16" i="29"/>
  <c r="O19" i="29"/>
  <c r="O26" i="29"/>
  <c r="I12" i="23"/>
  <c r="K12" i="23"/>
  <c r="M12" i="23"/>
  <c r="O12" i="23"/>
  <c r="Q12" i="23"/>
  <c r="S12" i="23"/>
  <c r="U12" i="23"/>
  <c r="W12" i="23"/>
  <c r="Y12" i="23"/>
  <c r="AA12" i="23"/>
  <c r="AC12" i="23"/>
  <c r="AE12" i="23"/>
  <c r="AG12" i="23"/>
  <c r="AI12" i="23"/>
  <c r="AK12" i="23"/>
  <c r="I29" i="23"/>
  <c r="K29" i="23"/>
  <c r="M29" i="23"/>
  <c r="O29" i="23"/>
  <c r="Q29" i="23"/>
  <c r="S29" i="23"/>
  <c r="U29" i="23"/>
  <c r="W29" i="23"/>
  <c r="Y29" i="23"/>
  <c r="AA29" i="23"/>
  <c r="AC29" i="23"/>
  <c r="AE29" i="23"/>
  <c r="AG29" i="23"/>
  <c r="AI29" i="23"/>
  <c r="AK29" i="23"/>
  <c r="W10" i="29"/>
  <c r="Y10" i="29"/>
  <c r="AA10" i="29"/>
  <c r="AC10" i="29"/>
  <c r="AE10" i="29"/>
  <c r="AG10" i="29"/>
  <c r="AI10" i="29"/>
  <c r="AK10" i="29"/>
  <c r="AM10" i="29"/>
  <c r="AO10" i="29"/>
  <c r="AQ10" i="29"/>
  <c r="AS10" i="29"/>
  <c r="AU10" i="29"/>
  <c r="AW10" i="29"/>
  <c r="AY10" i="29"/>
  <c r="I36" i="29"/>
  <c r="K36" i="29"/>
  <c r="M36" i="29"/>
  <c r="O36" i="29"/>
  <c r="Q36" i="29"/>
  <c r="S36" i="29"/>
  <c r="U36" i="29"/>
  <c r="W36" i="29"/>
  <c r="Y36" i="29"/>
  <c r="AA36" i="29"/>
  <c r="AC36" i="29"/>
  <c r="AE36" i="29"/>
  <c r="AG36" i="29"/>
  <c r="AI36" i="29"/>
  <c r="AK36" i="29"/>
  <c r="O21" i="29"/>
  <c r="O21" i="7"/>
  <c r="O49" i="7"/>
  <c r="O47" i="7"/>
  <c r="O48" i="7"/>
  <c r="O52" i="7"/>
  <c r="O35" i="7"/>
  <c r="O32" i="7"/>
  <c r="O34" i="7"/>
  <c r="O33" i="7"/>
  <c r="O26" i="7"/>
  <c r="O28" i="29"/>
  <c r="O27" i="7"/>
  <c r="O24" i="7"/>
  <c r="O25" i="7"/>
  <c r="Y10" i="7"/>
  <c r="AA10" i="7"/>
  <c r="AC10" i="7"/>
  <c r="AE10" i="7"/>
  <c r="AG10" i="7"/>
  <c r="AI10" i="7"/>
  <c r="AK10" i="7"/>
  <c r="AM10" i="7"/>
  <c r="AO10" i="7"/>
  <c r="AQ10" i="7"/>
  <c r="AS10" i="7"/>
  <c r="AU10" i="7"/>
  <c r="AW10" i="7"/>
  <c r="AY10" i="7"/>
  <c r="I60" i="7"/>
  <c r="K60" i="7"/>
  <c r="M60" i="7"/>
  <c r="O60" i="7"/>
  <c r="Q60" i="7"/>
  <c r="S60" i="7"/>
  <c r="U60" i="7"/>
  <c r="W60" i="7"/>
  <c r="Y60" i="7"/>
  <c r="AA60" i="7"/>
  <c r="AC60" i="7"/>
  <c r="AE60" i="7"/>
  <c r="AG60" i="7"/>
  <c r="AI60" i="7"/>
  <c r="AK60" i="7"/>
  <c r="O45" i="7"/>
  <c r="O25" i="29"/>
  <c r="O18" i="7"/>
  <c r="O14" i="29"/>
  <c r="O41" i="7"/>
</calcChain>
</file>

<file path=xl/sharedStrings.xml><?xml version="1.0" encoding="utf-8"?>
<sst xmlns="http://schemas.openxmlformats.org/spreadsheetml/2006/main" count="825" uniqueCount="107">
  <si>
    <t>Line Item</t>
  </si>
  <si>
    <t>Units</t>
  </si>
  <si>
    <t>Reserve Component Inventory</t>
  </si>
  <si>
    <t>Useful</t>
  </si>
  <si>
    <t>Remaining</t>
  </si>
  <si>
    <t>Life Analysis, Years</t>
  </si>
  <si>
    <t>Total Future Cost of Replacement</t>
  </si>
  <si>
    <t>Anticipated Expenditures, By Year</t>
  </si>
  <si>
    <t>RESERVE EXPENDITURES</t>
  </si>
  <si>
    <t>for</t>
  </si>
  <si>
    <t>Explanatory Notes:</t>
  </si>
  <si>
    <t>1)</t>
  </si>
  <si>
    <t>2)</t>
  </si>
  <si>
    <t>is the estimated future Inflation Rate for estimating Future Replacement Costs.</t>
  </si>
  <si>
    <t>CASH FLOW ANALYSIS</t>
  </si>
  <si>
    <t>Reserve at Beginning of Year (Note 1)</t>
  </si>
  <si>
    <t>Anticipated Reserves at Year End</t>
  </si>
  <si>
    <t>Fiscal Year is beginning January 1 and ending December 31.</t>
  </si>
  <si>
    <t>Less</t>
  </si>
  <si>
    <t>Plus</t>
  </si>
  <si>
    <t>Total Recommended Reserve Contribution (Note 2)</t>
  </si>
  <si>
    <t>Estimated Year of 1st Replacement</t>
  </si>
  <si>
    <t>Estimated Year Last Replaced</t>
  </si>
  <si>
    <t>1.</t>
  </si>
  <si>
    <t>2.</t>
  </si>
  <si>
    <t>3.</t>
  </si>
  <si>
    <t>4.</t>
  </si>
  <si>
    <t>The estimated rate of return on invested reserves.</t>
  </si>
  <si>
    <t>Total increase in funding</t>
  </si>
  <si>
    <t>Per Unit Increase in funding per month</t>
  </si>
  <si>
    <t>Quantity</t>
  </si>
  <si>
    <t>Exhibit B</t>
  </si>
  <si>
    <t>Estimated</t>
  </si>
  <si>
    <t>Funding Increase Percentage</t>
  </si>
  <si>
    <t>Estimated Interest Earned, During Year (Note 3)</t>
  </si>
  <si>
    <t>Cummulative Per Unit Funding Increase</t>
  </si>
  <si>
    <t>Note 4</t>
  </si>
  <si>
    <t>5.</t>
  </si>
  <si>
    <t>Anticipated Reserves at Year End (Note 5)</t>
  </si>
  <si>
    <t>N/A</t>
  </si>
  <si>
    <t>Year 1 is budgeted, years 2-30 are recommended.</t>
  </si>
  <si>
    <t>Per Unit Special Assessment</t>
  </si>
  <si>
    <t>Anticipated Reserves at Year End should be no-less-than the insurance deductible (currently $7,000.00)</t>
  </si>
  <si>
    <t>Percentage Increase in Operating Budget</t>
  </si>
  <si>
    <t>Special Assessment</t>
  </si>
  <si>
    <t>x</t>
  </si>
  <si>
    <t>ELEMENTS</t>
  </si>
  <si>
    <t>ELEMENTS REPLACE</t>
  </si>
  <si>
    <t>ELEMENTS (PRN)</t>
  </si>
  <si>
    <t>RESERVE FUNDING PLAN</t>
  </si>
  <si>
    <t>Reserve Component Categories</t>
  </si>
  <si>
    <t>Total Current Replacement Costs</t>
  </si>
  <si>
    <t>Total Future/Inflated Replacement Costs</t>
  </si>
  <si>
    <t>% of Total Future Replacements</t>
  </si>
  <si>
    <t>Information Furnished by Management</t>
  </si>
  <si>
    <t xml:space="preserve">     Anticipated Interest on Reserve Funds</t>
  </si>
  <si>
    <t xml:space="preserve">     Less Anticipated Reserve Expenditures</t>
  </si>
  <si>
    <t>*** If year changes here, must also change first year of 30 year table</t>
  </si>
  <si>
    <t>Totals</t>
  </si>
  <si>
    <t>Replace 1</t>
  </si>
  <si>
    <t>Replace 2</t>
  </si>
  <si>
    <t>Replace 3</t>
  </si>
  <si>
    <t>Replace 4</t>
  </si>
  <si>
    <t>Maintain 1</t>
  </si>
  <si>
    <t>Maintain 2</t>
  </si>
  <si>
    <t>Combo 1</t>
  </si>
  <si>
    <t>Combo 2</t>
  </si>
  <si>
    <t>Recommended Reserve Contributions</t>
  </si>
  <si>
    <t xml:space="preserve">  Year           $</t>
  </si>
  <si>
    <t xml:space="preserve">  Year            $</t>
  </si>
  <si>
    <t xml:space="preserve">       Insert # units</t>
  </si>
  <si>
    <t>Major Building Elements Replace</t>
  </si>
  <si>
    <t>Major Building Elements Maintain</t>
  </si>
  <si>
    <t>Major Property Elements Replace</t>
  </si>
  <si>
    <t>Major Property Elements Maintain</t>
  </si>
  <si>
    <t>Reserve Fund Balance January 1, 2016</t>
  </si>
  <si>
    <t>Accumulated year 2045 ending reserves consider the age, size, overall condition and complexity of the property.</t>
  </si>
  <si>
    <t xml:space="preserve">       Insert $ Annual Budget</t>
  </si>
  <si>
    <t>RefYr</t>
  </si>
  <si>
    <t>Roofs</t>
  </si>
  <si>
    <t>2024     Unit Cost</t>
  </si>
  <si>
    <t xml:space="preserve">2024 Cost of Replacement </t>
  </si>
  <si>
    <t>Accumulated year 2053 ending reserves consider the age, size, overall condition and complexity of the property.</t>
  </si>
  <si>
    <r>
      <t xml:space="preserve">Component of Projected </t>
    </r>
    <r>
      <rPr>
        <b/>
        <sz val="12"/>
        <color indexed="10"/>
        <rFont val="Arial Narrow"/>
        <family val="2"/>
      </rPr>
      <t>2024</t>
    </r>
    <r>
      <rPr>
        <b/>
        <sz val="12"/>
        <rFont val="Arial Narrow"/>
        <family val="2"/>
      </rPr>
      <t xml:space="preserve"> YE Fund Balance</t>
    </r>
  </si>
  <si>
    <r>
      <t xml:space="preserve">     January 1, </t>
    </r>
    <r>
      <rPr>
        <sz val="12"/>
        <color indexed="10"/>
        <rFont val="Arial Narrow"/>
        <family val="2"/>
      </rPr>
      <t>2024</t>
    </r>
    <r>
      <rPr>
        <sz val="12"/>
        <color indexed="8"/>
        <rFont val="Arial Narrow"/>
        <family val="2"/>
      </rPr>
      <t xml:space="preserve"> Unaudited Cash Status of the Reserve Fund</t>
    </r>
  </si>
  <si>
    <r>
      <t xml:space="preserve">    </t>
    </r>
    <r>
      <rPr>
        <sz val="12"/>
        <color indexed="10"/>
        <rFont val="Arial Narrow"/>
        <family val="2"/>
      </rPr>
      <t xml:space="preserve"> 2024</t>
    </r>
    <r>
      <rPr>
        <sz val="12"/>
        <color indexed="8"/>
        <rFont val="Arial Narrow"/>
        <family val="2"/>
      </rPr>
      <t xml:space="preserve"> Budgeted Reserve Contributions</t>
    </r>
  </si>
  <si>
    <r>
      <t xml:space="preserve">     Anticipated Year End Balance - </t>
    </r>
    <r>
      <rPr>
        <b/>
        <sz val="12"/>
        <color indexed="10"/>
        <rFont val="Arial Narrow"/>
        <family val="2"/>
      </rPr>
      <t>2024</t>
    </r>
  </si>
  <si>
    <t>Operating Budget</t>
  </si>
  <si>
    <t># Units</t>
  </si>
  <si>
    <t>Short Term</t>
  </si>
  <si>
    <t>Long Term</t>
  </si>
  <si>
    <t>Short Term %</t>
  </si>
  <si>
    <t xml:space="preserve">Reserve Fund Balance Jan.1,  </t>
  </si>
  <si>
    <t>(projected/reported)</t>
  </si>
  <si>
    <t>Additional Contribution/Special Assessment</t>
  </si>
  <si>
    <t>Add'l Assessment/Contribution/Unit</t>
  </si>
  <si>
    <t>Add'l Assessment or Contribution</t>
  </si>
  <si>
    <t xml:space="preserve">Style </t>
  </si>
  <si>
    <t>Adj Operating %</t>
  </si>
  <si>
    <t>Total Adjustment</t>
  </si>
  <si>
    <t>Avg Increase/mo</t>
  </si>
  <si>
    <t>Established</t>
  </si>
  <si>
    <t xml:space="preserve">condo/home </t>
  </si>
  <si>
    <t>Eval Date</t>
  </si>
  <si>
    <t>mo/yr</t>
  </si>
  <si>
    <t xml:space="preserve">City </t>
  </si>
  <si>
    <t>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</si>
</sst>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&quot;$&quot;#,##0"/>
    <numFmt numFmtId="167" formatCode="0.000000"/>
    <numFmt numFmtId="168" formatCode="&quot;$&quot;#,##0.00"/>
    <numFmt numFmtId="171" formatCode="0.00_);[Red]\(0.00\)"/>
  </numFmts>
  <fonts count="45" x14ac:knownFonts="1">
    <font>
      <sz val="11"/>
      <color theme="1"/>
      <name val="Calibri"/>
      <family val="2"/>
      <scheme val="minor"/>
    </font>
    <font>
      <sz val="16"/>
      <name val="Arial Narrow"/>
      <family val="2"/>
    </font>
    <font>
      <sz val="14"/>
      <name val="Arial Narrow"/>
      <family val="2"/>
    </font>
    <font>
      <sz val="15"/>
      <name val="Arial Narrow"/>
      <family val="2"/>
    </font>
    <font>
      <sz val="15.5"/>
      <name val="Arial Narrow"/>
      <family val="2"/>
    </font>
    <font>
      <b/>
      <sz val="12"/>
      <name val="Arial Narrow"/>
      <family val="2"/>
    </font>
    <font>
      <b/>
      <sz val="12"/>
      <color indexed="10"/>
      <name val="Arial Narrow"/>
      <family val="2"/>
    </font>
    <font>
      <sz val="12"/>
      <color indexed="10"/>
      <name val="Arial Narrow"/>
      <family val="2"/>
    </font>
    <font>
      <sz val="12"/>
      <color indexed="8"/>
      <name val="Arial Narrow"/>
      <family val="2"/>
    </font>
    <font>
      <b/>
      <sz val="12"/>
      <color indexed="10"/>
      <name val="Arial Narrow"/>
      <family val="2"/>
    </font>
    <font>
      <sz val="18"/>
      <name val="Arial Narrow"/>
      <family val="2"/>
    </font>
    <font>
      <b/>
      <sz val="18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sz val="11"/>
      <color rgb="FFFF0000"/>
      <name val="Arial Narrow"/>
      <family val="2"/>
    </font>
    <font>
      <sz val="24"/>
      <color theme="3"/>
      <name val="Arial Narrow"/>
      <family val="2"/>
    </font>
    <font>
      <b/>
      <sz val="18"/>
      <color theme="3"/>
      <name val="Arial Narrow"/>
      <family val="2"/>
    </font>
    <font>
      <sz val="11"/>
      <color theme="1"/>
      <name val="Arial Narrow"/>
      <family val="2"/>
    </font>
    <font>
      <sz val="15.5"/>
      <color theme="1"/>
      <name val="Arial Narrow"/>
      <family val="2"/>
    </font>
    <font>
      <i/>
      <sz val="10"/>
      <color theme="3"/>
      <name val="Arial Narrow"/>
      <family val="2"/>
    </font>
    <font>
      <sz val="10"/>
      <color theme="1"/>
      <name val="Arial Narrow"/>
      <family val="2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u/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Agency FB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4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indexed="64"/>
      </left>
      <right style="dotted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indexed="64"/>
      </left>
      <right style="dotted">
        <color indexed="64"/>
      </right>
      <top style="dotted">
        <color theme="0" tint="-0.499984740745262"/>
      </top>
      <bottom style="dotted">
        <color theme="0" tint="-0.499984740745262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theme="0" tint="-0.499984740745262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theme="0" tint="-0.499984740745262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theme="0" tint="-0.499984740745262"/>
      </bottom>
      <diagonal/>
    </border>
    <border>
      <left style="medium">
        <color indexed="64"/>
      </left>
      <right style="dotted">
        <color indexed="64"/>
      </right>
      <top style="dotted">
        <color theme="0" tint="-0.49998474074526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theme="0" tint="-0.499984740745262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theme="0" tint="-0.499984740745262"/>
      </bottom>
      <diagonal/>
    </border>
    <border>
      <left style="medium">
        <color indexed="64"/>
      </left>
      <right style="thin">
        <color indexed="64"/>
      </right>
      <top style="dotted">
        <color theme="0" tint="-0.499984740745262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medium">
        <color indexed="64"/>
      </right>
      <top style="dotted">
        <color theme="0" tint="-0.499984740745262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theme="0" tint="-0.499984740745262"/>
      </bottom>
      <diagonal/>
    </border>
    <border>
      <left style="medium">
        <color indexed="64"/>
      </left>
      <right style="thin">
        <color indexed="64"/>
      </right>
      <top style="dotted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 style="dotted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theme="0" tint="-0.499984740745262"/>
      </bottom>
      <diagonal/>
    </border>
    <border>
      <left style="thin">
        <color indexed="64"/>
      </left>
      <right style="medium">
        <color indexed="64"/>
      </right>
      <top style="dotted">
        <color theme="0" tint="-0.499984740745262"/>
      </top>
      <bottom style="medium">
        <color indexed="64"/>
      </bottom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332">
    <xf numFmtId="0" fontId="0" fillId="0" borderId="0" xfId="0"/>
    <xf numFmtId="10" fontId="0" fillId="0" borderId="0" xfId="0" applyNumberFormat="1" applyAlignment="1">
      <alignment horizontal="center"/>
    </xf>
    <xf numFmtId="0" fontId="16" fillId="0" borderId="0" xfId="0" applyFont="1" applyFill="1"/>
    <xf numFmtId="3" fontId="17" fillId="0" borderId="0" xfId="0" applyNumberFormat="1" applyFont="1" applyFill="1" applyAlignment="1">
      <alignment horizontal="right"/>
    </xf>
    <xf numFmtId="164" fontId="16" fillId="0" borderId="0" xfId="0" applyNumberFormat="1" applyFont="1" applyFill="1"/>
    <xf numFmtId="42" fontId="16" fillId="0" borderId="0" xfId="0" applyNumberFormat="1" applyFont="1" applyFill="1"/>
    <xf numFmtId="0" fontId="17" fillId="0" borderId="0" xfId="0" applyFont="1" applyFill="1"/>
    <xf numFmtId="0" fontId="17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0" xfId="0" applyFont="1" applyFill="1" applyBorder="1"/>
    <xf numFmtId="0" fontId="17" fillId="0" borderId="0" xfId="0" applyFont="1" applyFill="1" applyBorder="1" applyAlignment="1">
      <alignment horizontal="center" vertical="center" wrapText="1"/>
    </xf>
    <xf numFmtId="3" fontId="16" fillId="0" borderId="0" xfId="0" applyNumberFormat="1" applyFont="1" applyFill="1" applyAlignment="1">
      <alignment horizontal="right"/>
    </xf>
    <xf numFmtId="0" fontId="17" fillId="0" borderId="0" xfId="0" applyFont="1" applyFill="1" applyBorder="1" applyAlignment="1">
      <alignment horizontal="center"/>
    </xf>
    <xf numFmtId="3" fontId="17" fillId="0" borderId="0" xfId="0" applyNumberFormat="1" applyFont="1" applyFill="1" applyAlignment="1">
      <alignment horizontal="left"/>
    </xf>
    <xf numFmtId="41" fontId="16" fillId="0" borderId="0" xfId="0" applyNumberFormat="1" applyFont="1" applyFill="1" applyAlignment="1">
      <alignment horizontal="right"/>
    </xf>
    <xf numFmtId="41" fontId="16" fillId="0" borderId="0" xfId="0" applyNumberFormat="1" applyFont="1" applyFill="1"/>
    <xf numFmtId="41" fontId="16" fillId="0" borderId="1" xfId="0" applyNumberFormat="1" applyFont="1" applyFill="1" applyBorder="1" applyAlignment="1">
      <alignment horizontal="right"/>
    </xf>
    <xf numFmtId="3" fontId="16" fillId="0" borderId="0" xfId="0" applyNumberFormat="1" applyFont="1" applyFill="1" applyAlignment="1">
      <alignment horizontal="left"/>
    </xf>
    <xf numFmtId="0" fontId="17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left"/>
    </xf>
    <xf numFmtId="6" fontId="16" fillId="0" borderId="0" xfId="0" applyNumberFormat="1" applyFont="1" applyFill="1" applyAlignment="1">
      <alignment horizontal="right"/>
    </xf>
    <xf numFmtId="9" fontId="0" fillId="0" borderId="0" xfId="0" applyNumberFormat="1" applyAlignment="1">
      <alignment horizontal="center"/>
    </xf>
    <xf numFmtId="0" fontId="16" fillId="0" borderId="0" xfId="0" applyFont="1" applyFill="1" applyAlignment="1"/>
    <xf numFmtId="49" fontId="16" fillId="0" borderId="0" xfId="0" applyNumberFormat="1" applyFont="1" applyFill="1" applyAlignment="1">
      <alignment horizontal="center"/>
    </xf>
    <xf numFmtId="10" fontId="16" fillId="0" borderId="0" xfId="0" applyNumberFormat="1" applyFont="1" applyFill="1" applyAlignment="1">
      <alignment horizontal="left"/>
    </xf>
    <xf numFmtId="165" fontId="16" fillId="0" borderId="0" xfId="0" applyNumberFormat="1" applyFont="1" applyFill="1" applyAlignment="1">
      <alignment horizontal="left"/>
    </xf>
    <xf numFmtId="3" fontId="16" fillId="0" borderId="0" xfId="0" applyNumberFormat="1" applyFont="1" applyFill="1" applyBorder="1" applyAlignment="1">
      <alignment horizontal="right"/>
    </xf>
    <xf numFmtId="3" fontId="17" fillId="0" borderId="0" xfId="0" applyNumberFormat="1" applyFont="1" applyFill="1" applyBorder="1" applyAlignment="1">
      <alignment horizontal="right"/>
    </xf>
    <xf numFmtId="6" fontId="17" fillId="0" borderId="0" xfId="0" applyNumberFormat="1" applyFont="1" applyFill="1" applyBorder="1" applyAlignment="1">
      <alignment horizontal="right"/>
    </xf>
    <xf numFmtId="0" fontId="0" fillId="0" borderId="0" xfId="0" applyBorder="1"/>
    <xf numFmtId="41" fontId="16" fillId="0" borderId="0" xfId="0" applyNumberFormat="1" applyFont="1" applyFill="1" applyBorder="1" applyAlignment="1">
      <alignment horizontal="right"/>
    </xf>
    <xf numFmtId="41" fontId="17" fillId="0" borderId="0" xfId="0" applyNumberFormat="1" applyFont="1" applyFill="1" applyBorder="1" applyAlignment="1">
      <alignment horizontal="right"/>
    </xf>
    <xf numFmtId="3" fontId="16" fillId="0" borderId="0" xfId="0" applyNumberFormat="1" applyFont="1" applyFill="1" applyBorder="1" applyAlignment="1">
      <alignment horizontal="left"/>
    </xf>
    <xf numFmtId="10" fontId="17" fillId="0" borderId="0" xfId="0" applyNumberFormat="1" applyFont="1" applyFill="1" applyBorder="1" applyAlignment="1">
      <alignment horizontal="right"/>
    </xf>
    <xf numFmtId="0" fontId="16" fillId="0" borderId="0" xfId="0" applyFont="1" applyBorder="1"/>
    <xf numFmtId="3" fontId="17" fillId="0" borderId="2" xfId="0" applyNumberFormat="1" applyFont="1" applyFill="1" applyBorder="1" applyAlignment="1">
      <alignment horizontal="right"/>
    </xf>
    <xf numFmtId="8" fontId="16" fillId="0" borderId="0" xfId="0" applyNumberFormat="1" applyFont="1" applyFill="1" applyAlignment="1">
      <alignment horizontal="center"/>
    </xf>
    <xf numFmtId="0" fontId="17" fillId="0" borderId="0" xfId="0" applyNumberFormat="1" applyFont="1" applyFill="1" applyBorder="1" applyAlignment="1">
      <alignment horizontal="center"/>
    </xf>
    <xf numFmtId="10" fontId="17" fillId="0" borderId="0" xfId="0" applyNumberFormat="1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6" fontId="17" fillId="0" borderId="0" xfId="0" applyNumberFormat="1" applyFont="1" applyFill="1" applyBorder="1" applyAlignment="1">
      <alignment horizontal="center"/>
    </xf>
    <xf numFmtId="171" fontId="17" fillId="0" borderId="0" xfId="0" applyNumberFormat="1" applyFont="1" applyFill="1" applyBorder="1" applyAlignment="1">
      <alignment horizontal="center"/>
    </xf>
    <xf numFmtId="0" fontId="17" fillId="0" borderId="0" xfId="0" applyFont="1" applyAlignment="1">
      <alignment horizontal="right"/>
    </xf>
    <xf numFmtId="171" fontId="17" fillId="0" borderId="2" xfId="0" applyNumberFormat="1" applyFont="1" applyFill="1" applyBorder="1" applyAlignment="1">
      <alignment horizontal="center"/>
    </xf>
    <xf numFmtId="0" fontId="16" fillId="0" borderId="2" xfId="0" applyFont="1" applyFill="1" applyBorder="1" applyAlignment="1">
      <alignment horizontal="center"/>
    </xf>
    <xf numFmtId="0" fontId="16" fillId="0" borderId="2" xfId="0" applyFont="1" applyFill="1" applyBorder="1"/>
    <xf numFmtId="3" fontId="16" fillId="0" borderId="2" xfId="0" applyNumberFormat="1" applyFont="1" applyFill="1" applyBorder="1" applyAlignment="1">
      <alignment horizontal="left"/>
    </xf>
    <xf numFmtId="10" fontId="17" fillId="0" borderId="2" xfId="0" applyNumberFormat="1" applyFont="1" applyFill="1" applyBorder="1" applyAlignment="1">
      <alignment horizontal="right"/>
    </xf>
    <xf numFmtId="168" fontId="17" fillId="0" borderId="0" xfId="0" applyNumberFormat="1" applyFont="1" applyFill="1" applyBorder="1" applyAlignment="1">
      <alignment horizontal="right"/>
    </xf>
    <xf numFmtId="0" fontId="0" fillId="0" borderId="2" xfId="0" applyBorder="1"/>
    <xf numFmtId="0" fontId="16" fillId="0" borderId="2" xfId="0" applyFont="1" applyBorder="1"/>
    <xf numFmtId="168" fontId="17" fillId="0" borderId="0" xfId="0" applyNumberFormat="1" applyFont="1" applyBorder="1" applyAlignment="1">
      <alignment horizontal="right"/>
    </xf>
    <xf numFmtId="5" fontId="16" fillId="0" borderId="0" xfId="0" applyNumberFormat="1" applyFont="1" applyFill="1" applyAlignment="1">
      <alignment horizontal="right"/>
    </xf>
    <xf numFmtId="10" fontId="0" fillId="0" borderId="3" xfId="0" applyNumberFormat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6" fillId="2" borderId="0" xfId="0" applyFont="1" applyFill="1"/>
    <xf numFmtId="0" fontId="16" fillId="2" borderId="0" xfId="0" applyFont="1" applyFill="1" applyAlignment="1"/>
    <xf numFmtId="165" fontId="16" fillId="2" borderId="0" xfId="0" applyNumberFormat="1" applyFont="1" applyFill="1" applyAlignment="1">
      <alignment horizontal="left"/>
    </xf>
    <xf numFmtId="10" fontId="16" fillId="2" borderId="0" xfId="0" applyNumberFormat="1" applyFont="1" applyFill="1" applyAlignment="1">
      <alignment horizontal="left"/>
    </xf>
    <xf numFmtId="168" fontId="17" fillId="2" borderId="0" xfId="0" applyNumberFormat="1" applyFont="1" applyFill="1" applyBorder="1" applyAlignment="1">
      <alignment horizontal="right"/>
    </xf>
    <xf numFmtId="10" fontId="17" fillId="2" borderId="0" xfId="0" applyNumberFormat="1" applyFont="1" applyFill="1" applyBorder="1" applyAlignment="1">
      <alignment horizontal="right"/>
    </xf>
    <xf numFmtId="0" fontId="16" fillId="3" borderId="0" xfId="0" applyFont="1" applyFill="1" applyAlignment="1">
      <alignment horizontal="center"/>
    </xf>
    <xf numFmtId="0" fontId="16" fillId="3" borderId="0" xfId="0" applyFont="1" applyFill="1"/>
    <xf numFmtId="3" fontId="17" fillId="3" borderId="0" xfId="0" applyNumberFormat="1" applyFont="1" applyFill="1" applyAlignment="1">
      <alignment horizontal="right"/>
    </xf>
    <xf numFmtId="3" fontId="17" fillId="3" borderId="0" xfId="0" applyNumberFormat="1" applyFont="1" applyFill="1" applyAlignment="1">
      <alignment horizontal="left"/>
    </xf>
    <xf numFmtId="0" fontId="17" fillId="3" borderId="0" xfId="0" applyFont="1" applyFill="1" applyAlignment="1">
      <alignment horizontal="right"/>
    </xf>
    <xf numFmtId="165" fontId="16" fillId="3" borderId="0" xfId="0" applyNumberFormat="1" applyFont="1" applyFill="1" applyAlignment="1">
      <alignment horizontal="right"/>
    </xf>
    <xf numFmtId="6" fontId="16" fillId="3" borderId="0" xfId="0" applyNumberFormat="1" applyFont="1" applyFill="1" applyAlignment="1">
      <alignment horizontal="right"/>
    </xf>
    <xf numFmtId="3" fontId="19" fillId="3" borderId="0" xfId="0" applyNumberFormat="1" applyFont="1" applyFill="1" applyAlignment="1">
      <alignment horizontal="left"/>
    </xf>
    <xf numFmtId="41" fontId="16" fillId="3" borderId="0" xfId="0" applyNumberFormat="1" applyFont="1" applyFill="1"/>
    <xf numFmtId="6" fontId="17" fillId="3" borderId="3" xfId="0" applyNumberFormat="1" applyFont="1" applyFill="1" applyBorder="1" applyAlignment="1">
      <alignment horizontal="right"/>
    </xf>
    <xf numFmtId="3" fontId="16" fillId="3" borderId="0" xfId="0" applyNumberFormat="1" applyFont="1" applyFill="1" applyAlignment="1">
      <alignment horizontal="left" indent="1"/>
    </xf>
    <xf numFmtId="6" fontId="16" fillId="2" borderId="0" xfId="0" applyNumberFormat="1" applyFont="1" applyFill="1" applyAlignment="1">
      <alignment horizontal="right"/>
    </xf>
    <xf numFmtId="49" fontId="20" fillId="0" borderId="0" xfId="0" applyNumberFormat="1" applyFont="1" applyFill="1" applyBorder="1" applyAlignment="1">
      <alignment horizontal="left" vertical="center"/>
    </xf>
    <xf numFmtId="0" fontId="0" fillId="4" borderId="4" xfId="0" applyFill="1" applyBorder="1"/>
    <xf numFmtId="0" fontId="0" fillId="4" borderId="5" xfId="0" applyFill="1" applyBorder="1"/>
    <xf numFmtId="0" fontId="21" fillId="4" borderId="0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7" fontId="0" fillId="0" borderId="6" xfId="0" applyNumberFormat="1" applyBorder="1" applyAlignment="1">
      <alignment horizontal="center"/>
    </xf>
    <xf numFmtId="49" fontId="23" fillId="4" borderId="4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5" fontId="3" fillId="5" borderId="8" xfId="0" applyNumberFormat="1" applyFont="1" applyFill="1" applyBorder="1" applyAlignment="1">
      <alignment horizontal="center" vertical="center"/>
    </xf>
    <xf numFmtId="165" fontId="3" fillId="5" borderId="9" xfId="0" applyNumberFormat="1" applyFont="1" applyFill="1" applyBorder="1" applyAlignment="1">
      <alignment horizontal="center" vertical="center"/>
    </xf>
    <xf numFmtId="165" fontId="3" fillId="5" borderId="10" xfId="0" applyNumberFormat="1" applyFont="1" applyFill="1" applyBorder="1" applyAlignment="1">
      <alignment horizontal="center" vertical="center"/>
    </xf>
    <xf numFmtId="165" fontId="3" fillId="5" borderId="11" xfId="0" applyNumberFormat="1" applyFont="1" applyFill="1" applyBorder="1" applyAlignment="1">
      <alignment horizontal="center" vertical="center"/>
    </xf>
    <xf numFmtId="165" fontId="3" fillId="5" borderId="12" xfId="0" applyNumberFormat="1" applyFont="1" applyFill="1" applyBorder="1" applyAlignment="1">
      <alignment horizontal="center" vertical="center"/>
    </xf>
    <xf numFmtId="6" fontId="3" fillId="5" borderId="13" xfId="0" applyNumberFormat="1" applyFont="1" applyFill="1" applyBorder="1" applyAlignment="1">
      <alignment horizontal="center" vertical="center"/>
    </xf>
    <xf numFmtId="165" fontId="3" fillId="5" borderId="14" xfId="0" applyNumberFormat="1" applyFont="1" applyFill="1" applyBorder="1" applyAlignment="1">
      <alignment horizontal="center" vertical="center"/>
    </xf>
    <xf numFmtId="165" fontId="3" fillId="5" borderId="15" xfId="0" applyNumberFormat="1" applyFont="1" applyFill="1" applyBorder="1" applyAlignment="1">
      <alignment horizontal="center" vertical="center"/>
    </xf>
    <xf numFmtId="165" fontId="3" fillId="5" borderId="13" xfId="0" applyNumberFormat="1" applyFont="1" applyFill="1" applyBorder="1" applyAlignment="1">
      <alignment horizontal="center" vertical="center"/>
    </xf>
    <xf numFmtId="165" fontId="3" fillId="5" borderId="16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left" vertical="center"/>
    </xf>
    <xf numFmtId="0" fontId="24" fillId="5" borderId="18" xfId="0" applyFont="1" applyFill="1" applyBorder="1" applyAlignment="1">
      <alignment horizontal="left" vertical="center"/>
    </xf>
    <xf numFmtId="0" fontId="4" fillId="5" borderId="19" xfId="0" applyFont="1" applyFill="1" applyBorder="1" applyAlignment="1">
      <alignment horizontal="left" vertical="center"/>
    </xf>
    <xf numFmtId="0" fontId="24" fillId="5" borderId="20" xfId="0" applyFont="1" applyFill="1" applyBorder="1" applyAlignment="1">
      <alignment horizontal="left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 wrapText="1"/>
    </xf>
    <xf numFmtId="7" fontId="0" fillId="0" borderId="0" xfId="0" applyNumberFormat="1" applyAlignment="1" applyProtection="1">
      <alignment horizontal="center"/>
      <protection locked="0"/>
    </xf>
    <xf numFmtId="0" fontId="0" fillId="2" borderId="0" xfId="0" applyFill="1" applyBorder="1" applyAlignment="1">
      <alignment horizontal="center"/>
    </xf>
    <xf numFmtId="0" fontId="25" fillId="4" borderId="29" xfId="0" applyFont="1" applyFill="1" applyBorder="1" applyAlignment="1">
      <alignment horizontal="center" vertical="center" wrapText="1"/>
    </xf>
    <xf numFmtId="0" fontId="25" fillId="4" borderId="30" xfId="0" applyFont="1" applyFill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0" fontId="26" fillId="4" borderId="32" xfId="0" applyFont="1" applyFill="1" applyBorder="1" applyAlignment="1">
      <alignment horizontal="center" vertical="center" wrapText="1"/>
    </xf>
    <xf numFmtId="3" fontId="26" fillId="4" borderId="33" xfId="0" applyNumberFormat="1" applyFont="1" applyFill="1" applyBorder="1" applyAlignment="1">
      <alignment horizontal="center" vertical="center" wrapText="1"/>
    </xf>
    <xf numFmtId="10" fontId="26" fillId="4" borderId="33" xfId="0" applyNumberFormat="1" applyFont="1" applyFill="1" applyBorder="1" applyAlignment="1">
      <alignment horizontal="center" vertical="center" wrapText="1"/>
    </xf>
    <xf numFmtId="165" fontId="26" fillId="4" borderId="34" xfId="0" applyNumberFormat="1" applyFont="1" applyFill="1" applyBorder="1" applyAlignment="1">
      <alignment horizontal="center" vertical="center" wrapText="1"/>
    </xf>
    <xf numFmtId="0" fontId="27" fillId="5" borderId="35" xfId="0" applyFont="1" applyFill="1" applyBorder="1" applyAlignment="1">
      <alignment horizontal="center"/>
    </xf>
    <xf numFmtId="165" fontId="14" fillId="5" borderId="36" xfId="0" applyNumberFormat="1" applyFont="1" applyFill="1" applyBorder="1" applyAlignment="1">
      <alignment horizontal="center" vertical="center"/>
    </xf>
    <xf numFmtId="49" fontId="23" fillId="7" borderId="37" xfId="0" applyNumberFormat="1" applyFont="1" applyFill="1" applyBorder="1" applyAlignment="1">
      <alignment horizontal="center" vertical="center"/>
    </xf>
    <xf numFmtId="165" fontId="15" fillId="7" borderId="38" xfId="0" applyNumberFormat="1" applyFont="1" applyFill="1" applyBorder="1" applyAlignment="1">
      <alignment horizontal="center" vertical="center"/>
    </xf>
    <xf numFmtId="165" fontId="15" fillId="4" borderId="5" xfId="0" applyNumberFormat="1" applyFont="1" applyFill="1" applyBorder="1" applyAlignment="1">
      <alignment horizontal="center" vertical="center"/>
    </xf>
    <xf numFmtId="0" fontId="0" fillId="0" borderId="0" xfId="0" applyFill="1"/>
    <xf numFmtId="0" fontId="28" fillId="8" borderId="0" xfId="0" applyFont="1" applyFill="1"/>
    <xf numFmtId="9" fontId="27" fillId="8" borderId="0" xfId="2" applyFont="1" applyFill="1"/>
    <xf numFmtId="49" fontId="5" fillId="5" borderId="39" xfId="0" applyNumberFormat="1" applyFont="1" applyFill="1" applyBorder="1" applyAlignment="1">
      <alignment horizontal="center" vertical="center"/>
    </xf>
    <xf numFmtId="49" fontId="29" fillId="5" borderId="40" xfId="0" applyNumberFormat="1" applyFont="1" applyFill="1" applyBorder="1" applyAlignment="1">
      <alignment horizontal="center" vertical="center"/>
    </xf>
    <xf numFmtId="49" fontId="30" fillId="7" borderId="41" xfId="0" applyNumberFormat="1" applyFont="1" applyFill="1" applyBorder="1" applyAlignment="1">
      <alignment horizontal="center" vertical="center"/>
    </xf>
    <xf numFmtId="165" fontId="31" fillId="7" borderId="42" xfId="0" applyNumberFormat="1" applyFont="1" applyFill="1" applyBorder="1" applyAlignment="1">
      <alignment horizontal="center" vertical="center"/>
    </xf>
    <xf numFmtId="49" fontId="30" fillId="7" borderId="43" xfId="0" applyNumberFormat="1" applyFont="1" applyFill="1" applyBorder="1" applyAlignment="1">
      <alignment horizontal="center" vertical="center"/>
    </xf>
    <xf numFmtId="165" fontId="31" fillId="7" borderId="44" xfId="0" applyNumberFormat="1" applyFont="1" applyFill="1" applyBorder="1" applyAlignment="1">
      <alignment horizontal="center" vertical="center"/>
    </xf>
    <xf numFmtId="41" fontId="16" fillId="2" borderId="0" xfId="0" applyNumberFormat="1" applyFont="1" applyFill="1"/>
    <xf numFmtId="168" fontId="17" fillId="8" borderId="0" xfId="0" applyNumberFormat="1" applyFont="1" applyFill="1" applyBorder="1" applyAlignment="1">
      <alignment horizontal="right"/>
    </xf>
    <xf numFmtId="0" fontId="28" fillId="9" borderId="0" xfId="0" applyFont="1" applyFill="1"/>
    <xf numFmtId="9" fontId="27" fillId="9" borderId="0" xfId="2" applyFont="1" applyFill="1"/>
    <xf numFmtId="0" fontId="0" fillId="9" borderId="0" xfId="0" applyFill="1"/>
    <xf numFmtId="10" fontId="17" fillId="9" borderId="2" xfId="0" applyNumberFormat="1" applyFont="1" applyFill="1" applyBorder="1" applyAlignment="1">
      <alignment horizontal="right"/>
    </xf>
    <xf numFmtId="0" fontId="32" fillId="0" borderId="0" xfId="0" applyFont="1" applyFill="1" applyAlignment="1">
      <alignment horizontal="center"/>
    </xf>
    <xf numFmtId="0" fontId="32" fillId="0" borderId="0" xfId="0" applyFont="1" applyFill="1"/>
    <xf numFmtId="3" fontId="32" fillId="0" borderId="0" xfId="0" applyNumberFormat="1" applyFont="1" applyFill="1" applyAlignment="1">
      <alignment horizontal="center"/>
    </xf>
    <xf numFmtId="3" fontId="33" fillId="0" borderId="0" xfId="0" applyNumberFormat="1" applyFont="1" applyFill="1" applyAlignment="1">
      <alignment horizontal="right"/>
    </xf>
    <xf numFmtId="164" fontId="32" fillId="0" borderId="0" xfId="0" applyNumberFormat="1" applyFont="1" applyFill="1"/>
    <xf numFmtId="42" fontId="32" fillId="0" borderId="0" xfId="0" applyNumberFormat="1" applyFont="1" applyFill="1"/>
    <xf numFmtId="0" fontId="33" fillId="0" borderId="0" xfId="0" applyFont="1" applyFill="1"/>
    <xf numFmtId="0" fontId="33" fillId="0" borderId="0" xfId="0" applyFont="1" applyFill="1" applyAlignment="1">
      <alignment horizontal="center"/>
    </xf>
    <xf numFmtId="49" fontId="32" fillId="0" borderId="0" xfId="0" applyNumberFormat="1" applyFont="1" applyFill="1" applyAlignment="1">
      <alignment horizontal="center"/>
    </xf>
    <xf numFmtId="0" fontId="34" fillId="0" borderId="0" xfId="0" applyFont="1" applyFill="1" applyAlignment="1">
      <alignment horizontal="center"/>
    </xf>
    <xf numFmtId="0" fontId="34" fillId="0" borderId="0" xfId="0" applyFont="1" applyFill="1"/>
    <xf numFmtId="0" fontId="33" fillId="0" borderId="0" xfId="0" applyFont="1" applyFill="1" applyAlignment="1">
      <alignment horizontal="right"/>
    </xf>
    <xf numFmtId="10" fontId="33" fillId="2" borderId="0" xfId="0" applyNumberFormat="1" applyFont="1" applyFill="1" applyAlignment="1">
      <alignment horizontal="center"/>
    </xf>
    <xf numFmtId="0" fontId="33" fillId="0" borderId="0" xfId="0" applyFont="1" applyFill="1" applyAlignment="1">
      <alignment horizontal="left"/>
    </xf>
    <xf numFmtId="14" fontId="32" fillId="0" borderId="0" xfId="0" applyNumberFormat="1" applyFont="1" applyFill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2" fillId="0" borderId="0" xfId="0" applyFont="1" applyFill="1" applyBorder="1"/>
    <xf numFmtId="0" fontId="34" fillId="2" borderId="0" xfId="0" applyFont="1" applyFill="1" applyBorder="1" applyAlignment="1">
      <alignment horizontal="center"/>
    </xf>
    <xf numFmtId="3" fontId="35" fillId="0" borderId="0" xfId="0" applyNumberFormat="1" applyFont="1" applyFill="1" applyAlignment="1">
      <alignment horizontal="center"/>
    </xf>
    <xf numFmtId="0" fontId="33" fillId="0" borderId="0" xfId="0" applyFont="1" applyFill="1" applyBorder="1" applyAlignment="1">
      <alignment horizontal="center" vertical="center" wrapText="1"/>
    </xf>
    <xf numFmtId="0" fontId="33" fillId="0" borderId="0" xfId="0" applyFont="1" applyFill="1" applyAlignment="1">
      <alignment horizontal="center" vertical="center" wrapText="1"/>
    </xf>
    <xf numFmtId="3" fontId="35" fillId="0" borderId="1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 applyProtection="1">
      <alignment horizontal="center" vertical="center" wrapText="1"/>
      <protection locked="0"/>
    </xf>
    <xf numFmtId="3" fontId="33" fillId="0" borderId="0" xfId="0" applyNumberFormat="1" applyFont="1" applyFill="1" applyBorder="1" applyAlignment="1">
      <alignment horizontal="center" vertical="center" wrapText="1"/>
    </xf>
    <xf numFmtId="164" fontId="33" fillId="0" borderId="0" xfId="0" applyNumberFormat="1" applyFont="1" applyFill="1" applyBorder="1" applyAlignment="1">
      <alignment horizontal="center" vertical="center" wrapText="1"/>
    </xf>
    <xf numFmtId="42" fontId="33" fillId="0" borderId="0" xfId="0" applyNumberFormat="1" applyFont="1" applyFill="1" applyBorder="1" applyAlignment="1">
      <alignment horizontal="center" vertical="center" wrapText="1"/>
    </xf>
    <xf numFmtId="0" fontId="34" fillId="2" borderId="0" xfId="0" applyFont="1" applyFill="1" applyAlignment="1">
      <alignment horizontal="center"/>
    </xf>
    <xf numFmtId="164" fontId="32" fillId="0" borderId="0" xfId="0" applyNumberFormat="1" applyFont="1" applyFill="1" applyAlignment="1">
      <alignment horizontal="center"/>
    </xf>
    <xf numFmtId="42" fontId="32" fillId="0" borderId="0" xfId="0" applyNumberFormat="1" applyFont="1" applyFill="1" applyAlignment="1">
      <alignment horizontal="center"/>
    </xf>
    <xf numFmtId="42" fontId="32" fillId="0" borderId="0" xfId="0" applyNumberFormat="1" applyFont="1" applyFill="1" applyAlignment="1">
      <alignment horizontal="left"/>
    </xf>
    <xf numFmtId="0" fontId="32" fillId="3" borderId="0" xfId="0" applyFont="1" applyFill="1" applyAlignment="1">
      <alignment horizontal="center"/>
    </xf>
    <xf numFmtId="0" fontId="32" fillId="3" borderId="0" xfId="0" applyFont="1" applyFill="1"/>
    <xf numFmtId="3" fontId="32" fillId="3" borderId="0" xfId="0" applyNumberFormat="1" applyFont="1" applyFill="1" applyAlignment="1">
      <alignment horizontal="center"/>
    </xf>
    <xf numFmtId="3" fontId="33" fillId="3" borderId="0" xfId="0" applyNumberFormat="1" applyFont="1" applyFill="1" applyAlignment="1">
      <alignment horizontal="right"/>
    </xf>
    <xf numFmtId="4" fontId="32" fillId="3" borderId="0" xfId="0" applyNumberFormat="1" applyFont="1" applyFill="1" applyAlignment="1">
      <alignment horizontal="right"/>
    </xf>
    <xf numFmtId="0" fontId="32" fillId="3" borderId="0" xfId="0" applyFont="1" applyFill="1" applyAlignment="1">
      <alignment horizontal="right"/>
    </xf>
    <xf numFmtId="3" fontId="32" fillId="3" borderId="0" xfId="0" applyNumberFormat="1" applyFont="1" applyFill="1" applyAlignment="1">
      <alignment horizontal="right"/>
    </xf>
    <xf numFmtId="3" fontId="33" fillId="3" borderId="0" xfId="0" applyNumberFormat="1" applyFont="1" applyFill="1" applyBorder="1" applyAlignment="1">
      <alignment horizontal="right"/>
    </xf>
    <xf numFmtId="4" fontId="32" fillId="0" borderId="0" xfId="0" applyNumberFormat="1" applyFont="1" applyFill="1" applyAlignment="1">
      <alignment horizontal="right"/>
    </xf>
    <xf numFmtId="0" fontId="32" fillId="0" borderId="0" xfId="0" applyFont="1" applyFill="1" applyAlignment="1">
      <alignment horizontal="right"/>
    </xf>
    <xf numFmtId="3" fontId="32" fillId="0" borderId="0" xfId="0" applyNumberFormat="1" applyFont="1" applyFill="1" applyAlignment="1">
      <alignment horizontal="right"/>
    </xf>
    <xf numFmtId="3" fontId="33" fillId="0" borderId="0" xfId="0" applyNumberFormat="1" applyFont="1" applyFill="1" applyBorder="1" applyAlignment="1">
      <alignment horizontal="right"/>
    </xf>
    <xf numFmtId="0" fontId="32" fillId="4" borderId="0" xfId="0" applyFont="1" applyFill="1" applyAlignment="1">
      <alignment horizontal="center"/>
    </xf>
    <xf numFmtId="0" fontId="32" fillId="4" borderId="0" xfId="0" applyFont="1" applyFill="1"/>
    <xf numFmtId="3" fontId="32" fillId="4" borderId="0" xfId="0" applyNumberFormat="1" applyFont="1" applyFill="1" applyAlignment="1">
      <alignment horizontal="center"/>
    </xf>
    <xf numFmtId="3" fontId="33" fillId="4" borderId="0" xfId="0" applyNumberFormat="1" applyFont="1" applyFill="1" applyAlignment="1">
      <alignment horizontal="right"/>
    </xf>
    <xf numFmtId="0" fontId="32" fillId="4" borderId="0" xfId="0" applyFont="1" applyFill="1" applyAlignment="1">
      <alignment horizontal="right"/>
    </xf>
    <xf numFmtId="3" fontId="32" fillId="4" borderId="0" xfId="0" applyNumberFormat="1" applyFont="1" applyFill="1" applyAlignment="1">
      <alignment horizontal="right"/>
    </xf>
    <xf numFmtId="3" fontId="33" fillId="4" borderId="0" xfId="0" applyNumberFormat="1" applyFont="1" applyFill="1" applyBorder="1" applyAlignment="1">
      <alignment horizontal="right"/>
    </xf>
    <xf numFmtId="0" fontId="32" fillId="3" borderId="0" xfId="0" applyFont="1" applyFill="1" applyAlignment="1">
      <alignment horizontal="left"/>
    </xf>
    <xf numFmtId="3" fontId="32" fillId="0" borderId="0" xfId="0" applyNumberFormat="1" applyFont="1" applyFill="1" applyAlignment="1">
      <alignment horizontal="left"/>
    </xf>
    <xf numFmtId="164" fontId="32" fillId="0" borderId="0" xfId="0" applyNumberFormat="1" applyFont="1" applyFill="1" applyAlignment="1">
      <alignment horizontal="right"/>
    </xf>
    <xf numFmtId="3" fontId="32" fillId="0" borderId="45" xfId="0" applyNumberFormat="1" applyFont="1" applyFill="1" applyBorder="1" applyAlignment="1">
      <alignment horizontal="right"/>
    </xf>
    <xf numFmtId="3" fontId="33" fillId="0" borderId="2" xfId="0" applyNumberFormat="1" applyFont="1" applyFill="1" applyBorder="1" applyAlignment="1">
      <alignment horizontal="right"/>
    </xf>
    <xf numFmtId="3" fontId="33" fillId="0" borderId="0" xfId="0" applyNumberFormat="1" applyFont="1" applyFill="1" applyAlignment="1">
      <alignment horizontal="center"/>
    </xf>
    <xf numFmtId="0" fontId="32" fillId="0" borderId="3" xfId="0" applyFont="1" applyFill="1" applyBorder="1" applyAlignment="1">
      <alignment horizontal="center"/>
    </xf>
    <xf numFmtId="0" fontId="32" fillId="0" borderId="3" xfId="0" applyFont="1" applyFill="1" applyBorder="1"/>
    <xf numFmtId="3" fontId="32" fillId="0" borderId="3" xfId="0" applyNumberFormat="1" applyFont="1" applyFill="1" applyBorder="1" applyAlignment="1">
      <alignment horizontal="center"/>
    </xf>
    <xf numFmtId="3" fontId="33" fillId="0" borderId="3" xfId="0" applyNumberFormat="1" applyFont="1" applyFill="1" applyBorder="1" applyAlignment="1">
      <alignment horizontal="right"/>
    </xf>
    <xf numFmtId="164" fontId="32" fillId="0" borderId="3" xfId="0" applyNumberFormat="1" applyFont="1" applyFill="1" applyBorder="1"/>
    <xf numFmtId="42" fontId="32" fillId="0" borderId="3" xfId="0" applyNumberFormat="1" applyFont="1" applyFill="1" applyBorder="1"/>
    <xf numFmtId="3" fontId="33" fillId="0" borderId="3" xfId="0" applyNumberFormat="1" applyFont="1" applyFill="1" applyBorder="1"/>
    <xf numFmtId="0" fontId="33" fillId="0" borderId="3" xfId="0" applyFont="1" applyFill="1" applyBorder="1"/>
    <xf numFmtId="42" fontId="32" fillId="0" borderId="3" xfId="0" applyNumberFormat="1" applyFont="1" applyFill="1" applyBorder="1" applyAlignment="1">
      <alignment horizontal="left"/>
    </xf>
    <xf numFmtId="42" fontId="32" fillId="0" borderId="0" xfId="0" applyNumberFormat="1" applyFont="1" applyFill="1" applyBorder="1" applyAlignment="1">
      <alignment horizontal="left"/>
    </xf>
    <xf numFmtId="3" fontId="32" fillId="0" borderId="0" xfId="0" applyNumberFormat="1" applyFont="1" applyFill="1" applyBorder="1" applyAlignment="1">
      <alignment horizontal="center"/>
    </xf>
    <xf numFmtId="164" fontId="32" fillId="0" borderId="0" xfId="0" applyNumberFormat="1" applyFont="1" applyFill="1" applyBorder="1"/>
    <xf numFmtId="42" fontId="32" fillId="0" borderId="0" xfId="0" applyNumberFormat="1" applyFont="1" applyFill="1" applyBorder="1"/>
    <xf numFmtId="0" fontId="33" fillId="0" borderId="0" xfId="0" applyFont="1" applyFill="1" applyBorder="1"/>
    <xf numFmtId="3" fontId="32" fillId="0" borderId="0" xfId="0" applyNumberFormat="1" applyFont="1" applyFill="1"/>
    <xf numFmtId="3" fontId="32" fillId="3" borderId="0" xfId="0" applyNumberFormat="1" applyFont="1" applyFill="1" applyAlignment="1"/>
    <xf numFmtId="0" fontId="32" fillId="3" borderId="0" xfId="0" applyFont="1" applyFill="1" applyAlignment="1"/>
    <xf numFmtId="3" fontId="32" fillId="0" borderId="0" xfId="0" applyNumberFormat="1" applyFont="1" applyFill="1" applyAlignment="1"/>
    <xf numFmtId="0" fontId="32" fillId="0" borderId="0" xfId="0" applyFont="1" applyFill="1" applyAlignment="1">
      <alignment horizontal="left"/>
    </xf>
    <xf numFmtId="3" fontId="32" fillId="3" borderId="0" xfId="0" applyNumberFormat="1" applyFont="1" applyFill="1" applyAlignment="1">
      <alignment horizontal="left"/>
    </xf>
    <xf numFmtId="3" fontId="32" fillId="4" borderId="0" xfId="0" applyNumberFormat="1" applyFont="1" applyFill="1" applyAlignment="1"/>
    <xf numFmtId="42" fontId="32" fillId="4" borderId="0" xfId="0" applyNumberFormat="1" applyFont="1" applyFill="1"/>
    <xf numFmtId="3" fontId="32" fillId="0" borderId="45" xfId="0" applyNumberFormat="1" applyFont="1" applyFill="1" applyBorder="1" applyAlignment="1"/>
    <xf numFmtId="3" fontId="33" fillId="0" borderId="2" xfId="0" applyNumberFormat="1" applyFont="1" applyFill="1" applyBorder="1" applyAlignment="1"/>
    <xf numFmtId="3" fontId="33" fillId="0" borderId="0" xfId="0" applyNumberFormat="1" applyFont="1" applyFill="1" applyAlignment="1"/>
    <xf numFmtId="0" fontId="33" fillId="2" borderId="1" xfId="0" applyFont="1" applyFill="1" applyBorder="1" applyAlignment="1" applyProtection="1">
      <alignment horizontal="center" vertical="center" wrapText="1"/>
    </xf>
    <xf numFmtId="0" fontId="32" fillId="2" borderId="0" xfId="0" applyFont="1" applyFill="1" applyAlignment="1">
      <alignment horizontal="center"/>
    </xf>
    <xf numFmtId="3" fontId="32" fillId="2" borderId="0" xfId="0" applyNumberFormat="1" applyFont="1" applyFill="1" applyAlignment="1">
      <alignment horizontal="center"/>
    </xf>
    <xf numFmtId="3" fontId="32" fillId="0" borderId="0" xfId="0" applyNumberFormat="1" applyFont="1" applyFill="1" applyBorder="1" applyAlignment="1">
      <alignment horizontal="right"/>
    </xf>
    <xf numFmtId="0" fontId="32" fillId="0" borderId="0" xfId="0" applyFont="1" applyFill="1" applyAlignment="1">
      <alignment horizontal="center" vertical="center" wrapText="1"/>
    </xf>
    <xf numFmtId="167" fontId="32" fillId="0" borderId="0" xfId="0" applyNumberFormat="1" applyFont="1" applyFill="1" applyAlignment="1">
      <alignment horizontal="center"/>
    </xf>
    <xf numFmtId="0" fontId="36" fillId="0" borderId="1" xfId="0" applyFont="1" applyFill="1" applyBorder="1" applyAlignment="1">
      <alignment horizontal="center" vertical="center" wrapText="1"/>
    </xf>
    <xf numFmtId="49" fontId="32" fillId="3" borderId="0" xfId="0" applyNumberFormat="1" applyFont="1" applyFill="1" applyAlignment="1">
      <alignment horizontal="center"/>
    </xf>
    <xf numFmtId="2" fontId="32" fillId="0" borderId="0" xfId="0" applyNumberFormat="1" applyFont="1" applyFill="1" applyAlignment="1">
      <alignment horizontal="right"/>
    </xf>
    <xf numFmtId="2" fontId="32" fillId="3" borderId="0" xfId="0" applyNumberFormat="1" applyFont="1" applyFill="1" applyAlignment="1">
      <alignment horizontal="right"/>
    </xf>
    <xf numFmtId="49" fontId="32" fillId="4" borderId="0" xfId="0" applyNumberFormat="1" applyFont="1" applyFill="1" applyAlignment="1">
      <alignment horizontal="center"/>
    </xf>
    <xf numFmtId="2" fontId="32" fillId="4" borderId="0" xfId="0" applyNumberFormat="1" applyFont="1" applyFill="1" applyAlignment="1">
      <alignment horizontal="right"/>
    </xf>
    <xf numFmtId="0" fontId="32" fillId="0" borderId="0" xfId="0" applyFont="1" applyFill="1" applyAlignment="1"/>
    <xf numFmtId="0" fontId="35" fillId="0" borderId="1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center" wrapText="1"/>
    </xf>
    <xf numFmtId="5" fontId="16" fillId="2" borderId="0" xfId="0" applyNumberFormat="1" applyFont="1" applyFill="1" applyAlignment="1">
      <alignment horizontal="right"/>
    </xf>
    <xf numFmtId="1" fontId="10" fillId="3" borderId="0" xfId="0" applyNumberFormat="1" applyFont="1" applyFill="1" applyAlignment="1">
      <alignment horizontal="center"/>
    </xf>
    <xf numFmtId="1" fontId="32" fillId="0" borderId="0" xfId="0" applyNumberFormat="1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1" fontId="32" fillId="3" borderId="0" xfId="0" applyNumberFormat="1" applyFont="1" applyFill="1"/>
    <xf numFmtId="1" fontId="32" fillId="0" borderId="0" xfId="0" applyNumberFormat="1" applyFont="1" applyFill="1"/>
    <xf numFmtId="1" fontId="32" fillId="4" borderId="0" xfId="0" applyNumberFormat="1" applyFont="1" applyFill="1" applyAlignment="1">
      <alignment horizontal="center" vertical="center"/>
    </xf>
    <xf numFmtId="1" fontId="32" fillId="4" borderId="0" xfId="0" applyNumberFormat="1" applyFont="1" applyFill="1"/>
    <xf numFmtId="1" fontId="32" fillId="3" borderId="0" xfId="0" applyNumberFormat="1" applyFont="1" applyFill="1" applyAlignment="1">
      <alignment horizontal="center"/>
    </xf>
    <xf numFmtId="1" fontId="32" fillId="0" borderId="0" xfId="1" applyNumberFormat="1" applyFont="1" applyFill="1" applyAlignment="1">
      <alignment horizontal="center"/>
    </xf>
    <xf numFmtId="0" fontId="32" fillId="0" borderId="0" xfId="0" applyNumberFormat="1" applyFont="1" applyFill="1" applyAlignment="1">
      <alignment horizontal="center"/>
    </xf>
    <xf numFmtId="0" fontId="32" fillId="3" borderId="0" xfId="0" applyNumberFormat="1" applyFont="1" applyFill="1" applyAlignment="1">
      <alignment horizontal="center"/>
    </xf>
    <xf numFmtId="41" fontId="16" fillId="4" borderId="0" xfId="0" applyNumberFormat="1" applyFont="1" applyFill="1"/>
    <xf numFmtId="168" fontId="17" fillId="4" borderId="0" xfId="0" applyNumberFormat="1" applyFont="1" applyFill="1" applyBorder="1" applyAlignment="1">
      <alignment horizontal="right"/>
    </xf>
    <xf numFmtId="0" fontId="32" fillId="4" borderId="0" xfId="0" applyFont="1" applyFill="1" applyAlignment="1"/>
    <xf numFmtId="3" fontId="11" fillId="3" borderId="0" xfId="0" applyNumberFormat="1" applyFont="1" applyFill="1" applyAlignment="1">
      <alignment horizontal="left"/>
    </xf>
    <xf numFmtId="3" fontId="11" fillId="3" borderId="0" xfId="0" applyNumberFormat="1" applyFont="1" applyFill="1" applyAlignment="1">
      <alignment horizontal="right"/>
    </xf>
    <xf numFmtId="0" fontId="12" fillId="3" borderId="0" xfId="0" applyFont="1" applyFill="1" applyAlignment="1">
      <alignment horizontal="center"/>
    </xf>
    <xf numFmtId="0" fontId="12" fillId="3" borderId="0" xfId="0" applyFont="1" applyFill="1"/>
    <xf numFmtId="0" fontId="28" fillId="0" borderId="0" xfId="0" applyFont="1" applyFill="1"/>
    <xf numFmtId="9" fontId="27" fillId="0" borderId="0" xfId="2" applyFont="1" applyFill="1"/>
    <xf numFmtId="0" fontId="37" fillId="0" borderId="0" xfId="0" applyFont="1" applyAlignment="1">
      <alignment horizontal="right"/>
    </xf>
    <xf numFmtId="0" fontId="16" fillId="4" borderId="0" xfId="0" applyFont="1" applyFill="1"/>
    <xf numFmtId="10" fontId="17" fillId="4" borderId="2" xfId="0" applyNumberFormat="1" applyFont="1" applyFill="1" applyBorder="1" applyAlignment="1">
      <alignment horizontal="right"/>
    </xf>
    <xf numFmtId="0" fontId="16" fillId="2" borderId="0" xfId="0" applyFont="1" applyFill="1" applyAlignment="1">
      <alignment horizontal="left"/>
    </xf>
    <xf numFmtId="0" fontId="38" fillId="0" borderId="0" xfId="0" applyFont="1" applyAlignment="1">
      <alignment horizontal="right"/>
    </xf>
    <xf numFmtId="0" fontId="39" fillId="0" borderId="0" xfId="0" applyFont="1"/>
    <xf numFmtId="0" fontId="38" fillId="2" borderId="0" xfId="0" applyFont="1" applyFill="1" applyAlignment="1">
      <alignment horizontal="left"/>
    </xf>
    <xf numFmtId="0" fontId="39" fillId="0" borderId="0" xfId="0" applyFont="1" applyAlignment="1">
      <alignment horizontal="right"/>
    </xf>
    <xf numFmtId="165" fontId="38" fillId="2" borderId="0" xfId="0" applyNumberFormat="1" applyFont="1" applyFill="1" applyAlignment="1">
      <alignment horizontal="left"/>
    </xf>
    <xf numFmtId="0" fontId="14" fillId="0" borderId="0" xfId="0" applyFont="1" applyAlignment="1">
      <alignment horizontal="right"/>
    </xf>
    <xf numFmtId="5" fontId="38" fillId="0" borderId="0" xfId="0" applyNumberFormat="1" applyFont="1" applyFill="1" applyAlignment="1">
      <alignment horizontal="left"/>
    </xf>
    <xf numFmtId="10" fontId="38" fillId="0" borderId="0" xfId="0" applyNumberFormat="1" applyFont="1" applyFill="1" applyAlignment="1">
      <alignment horizontal="left"/>
    </xf>
    <xf numFmtId="0" fontId="40" fillId="0" borderId="0" xfId="0" applyFont="1" applyAlignment="1">
      <alignment horizontal="right"/>
    </xf>
    <xf numFmtId="6" fontId="38" fillId="0" borderId="0" xfId="0" applyNumberFormat="1" applyFont="1" applyFill="1" applyAlignment="1">
      <alignment horizontal="left"/>
    </xf>
    <xf numFmtId="168" fontId="38" fillId="0" borderId="0" xfId="0" applyNumberFormat="1" applyFont="1" applyFill="1" applyAlignment="1">
      <alignment horizontal="left"/>
    </xf>
    <xf numFmtId="0" fontId="41" fillId="0" borderId="0" xfId="0" applyFont="1" applyFill="1" applyAlignment="1"/>
    <xf numFmtId="0" fontId="41" fillId="0" borderId="0" xfId="0" applyFont="1"/>
    <xf numFmtId="0" fontId="41" fillId="2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left" vertical="top"/>
    </xf>
    <xf numFmtId="0" fontId="41" fillId="0" borderId="0" xfId="0" applyFont="1" applyAlignment="1">
      <alignment horizontal="right"/>
    </xf>
    <xf numFmtId="0" fontId="42" fillId="0" borderId="0" xfId="0" applyFont="1" applyFill="1" applyAlignment="1">
      <alignment horizontal="right"/>
    </xf>
    <xf numFmtId="0" fontId="17" fillId="4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49" fontId="17" fillId="2" borderId="0" xfId="0" applyNumberFormat="1" applyFont="1" applyFill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1" fontId="32" fillId="0" borderId="0" xfId="0" applyNumberFormat="1" applyFont="1" applyFill="1" applyAlignment="1">
      <alignment horizontal="center"/>
    </xf>
    <xf numFmtId="1" fontId="10" fillId="0" borderId="0" xfId="0" applyNumberFormat="1" applyFont="1" applyFill="1" applyAlignment="1">
      <alignment horizontal="center"/>
    </xf>
    <xf numFmtId="0" fontId="35" fillId="0" borderId="0" xfId="0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/>
    </xf>
    <xf numFmtId="164" fontId="33" fillId="2" borderId="0" xfId="0" applyNumberFormat="1" applyFont="1" applyFill="1" applyBorder="1" applyAlignment="1">
      <alignment horizontal="center" vertical="center" wrapText="1"/>
    </xf>
    <xf numFmtId="164" fontId="33" fillId="2" borderId="1" xfId="0" applyNumberFormat="1" applyFont="1" applyFill="1" applyBorder="1" applyAlignment="1">
      <alignment horizontal="center" vertical="center" wrapText="1"/>
    </xf>
    <xf numFmtId="42" fontId="35" fillId="2" borderId="0" xfId="0" applyNumberFormat="1" applyFont="1" applyFill="1" applyBorder="1" applyAlignment="1">
      <alignment horizontal="center" vertical="center" wrapText="1"/>
    </xf>
    <xf numFmtId="42" fontId="35" fillId="2" borderId="1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Fill="1" applyAlignment="1"/>
    <xf numFmtId="0" fontId="0" fillId="0" borderId="0" xfId="0" applyAlignment="1"/>
    <xf numFmtId="14" fontId="16" fillId="0" borderId="0" xfId="0" applyNumberFormat="1" applyFont="1" applyFill="1" applyAlignment="1"/>
    <xf numFmtId="14" fontId="0" fillId="0" borderId="0" xfId="0" applyNumberFormat="1" applyAlignment="1"/>
    <xf numFmtId="0" fontId="4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1" fillId="0" borderId="0" xfId="0" applyFont="1" applyAlignment="1">
      <alignment horizontal="right" wrapText="1"/>
    </xf>
    <xf numFmtId="0" fontId="4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24" fillId="5" borderId="49" xfId="0" applyFont="1" applyFill="1" applyBorder="1" applyAlignment="1">
      <alignment horizontal="left" vertical="center"/>
    </xf>
    <xf numFmtId="0" fontId="5" fillId="5" borderId="59" xfId="0" applyFont="1" applyFill="1" applyBorder="1" applyAlignment="1">
      <alignment horizontal="center" vertical="center" wrapText="1"/>
    </xf>
    <xf numFmtId="0" fontId="5" fillId="5" borderId="60" xfId="0" applyFont="1" applyFill="1" applyBorder="1" applyAlignment="1">
      <alignment horizontal="center" vertical="center" wrapText="1"/>
    </xf>
    <xf numFmtId="0" fontId="5" fillId="5" borderId="61" xfId="0" applyFont="1" applyFill="1" applyBorder="1" applyAlignment="1">
      <alignment horizontal="center" vertical="center" wrapText="1"/>
    </xf>
    <xf numFmtId="0" fontId="5" fillId="5" borderId="62" xfId="0" applyFont="1" applyFill="1" applyBorder="1" applyAlignment="1">
      <alignment horizontal="center" vertical="center" wrapText="1"/>
    </xf>
    <xf numFmtId="0" fontId="5" fillId="5" borderId="63" xfId="0" applyFont="1" applyFill="1" applyBorder="1" applyAlignment="1">
      <alignment horizontal="center" vertical="center" wrapText="1"/>
    </xf>
    <xf numFmtId="0" fontId="5" fillId="5" borderId="64" xfId="0" applyFont="1" applyFill="1" applyBorder="1" applyAlignment="1">
      <alignment horizontal="center" vertical="center" wrapText="1"/>
    </xf>
    <xf numFmtId="0" fontId="44" fillId="5" borderId="65" xfId="0" applyFont="1" applyFill="1" applyBorder="1" applyAlignment="1">
      <alignment horizontal="center" vertical="center"/>
    </xf>
    <xf numFmtId="0" fontId="44" fillId="5" borderId="66" xfId="0" applyFont="1" applyFill="1" applyBorder="1" applyAlignment="1">
      <alignment horizontal="center" vertical="center"/>
    </xf>
    <xf numFmtId="165" fontId="37" fillId="5" borderId="67" xfId="0" applyNumberFormat="1" applyFont="1" applyFill="1" applyBorder="1" applyAlignment="1">
      <alignment horizontal="center" vertical="center"/>
    </xf>
    <xf numFmtId="165" fontId="37" fillId="5" borderId="68" xfId="0" applyNumberFormat="1" applyFont="1" applyFill="1" applyBorder="1" applyAlignment="1">
      <alignment horizontal="center" vertical="center"/>
    </xf>
    <xf numFmtId="10" fontId="37" fillId="5" borderId="67" xfId="0" applyNumberFormat="1" applyFont="1" applyFill="1" applyBorder="1" applyAlignment="1">
      <alignment horizontal="center" vertical="center"/>
    </xf>
    <xf numFmtId="10" fontId="37" fillId="5" borderId="68" xfId="0" applyNumberFormat="1" applyFont="1" applyFill="1" applyBorder="1" applyAlignment="1">
      <alignment horizontal="center" vertical="center"/>
    </xf>
    <xf numFmtId="165" fontId="37" fillId="5" borderId="69" xfId="0" applyNumberFormat="1" applyFont="1" applyFill="1" applyBorder="1" applyAlignment="1">
      <alignment horizontal="center" vertical="center"/>
    </xf>
    <xf numFmtId="165" fontId="37" fillId="5" borderId="70" xfId="0" applyNumberFormat="1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 wrapText="1"/>
    </xf>
    <xf numFmtId="0" fontId="30" fillId="7" borderId="52" xfId="0" applyFont="1" applyFill="1" applyBorder="1" applyAlignment="1">
      <alignment horizontal="center" vertical="center" wrapText="1"/>
    </xf>
    <xf numFmtId="168" fontId="30" fillId="7" borderId="54" xfId="0" applyNumberFormat="1" applyFont="1" applyFill="1" applyBorder="1" applyAlignment="1">
      <alignment horizontal="center" vertical="center" wrapText="1"/>
    </xf>
    <xf numFmtId="168" fontId="30" fillId="7" borderId="51" xfId="0" applyNumberFormat="1" applyFont="1" applyFill="1" applyBorder="1" applyAlignment="1">
      <alignment horizontal="center" vertical="center" wrapText="1"/>
    </xf>
    <xf numFmtId="10" fontId="30" fillId="7" borderId="54" xfId="0" applyNumberFormat="1" applyFont="1" applyFill="1" applyBorder="1" applyAlignment="1">
      <alignment horizontal="center" vertical="center" wrapText="1"/>
    </xf>
    <xf numFmtId="10" fontId="30" fillId="7" borderId="51" xfId="0" applyNumberFormat="1" applyFont="1" applyFill="1" applyBorder="1" applyAlignment="1">
      <alignment horizontal="center" vertical="center" wrapText="1"/>
    </xf>
    <xf numFmtId="168" fontId="30" fillId="7" borderId="55" xfId="0" applyNumberFormat="1" applyFont="1" applyFill="1" applyBorder="1" applyAlignment="1">
      <alignment horizontal="center" vertical="center" wrapText="1"/>
    </xf>
    <xf numFmtId="168" fontId="30" fillId="7" borderId="50" xfId="0" applyNumberFormat="1" applyFont="1" applyFill="1" applyBorder="1" applyAlignment="1">
      <alignment horizontal="center" vertical="center" wrapText="1"/>
    </xf>
    <xf numFmtId="0" fontId="30" fillId="7" borderId="56" xfId="0" applyFont="1" applyFill="1" applyBorder="1" applyAlignment="1">
      <alignment horizontal="center" vertical="center" wrapText="1"/>
    </xf>
    <xf numFmtId="168" fontId="30" fillId="7" borderId="57" xfId="0" applyNumberFormat="1" applyFont="1" applyFill="1" applyBorder="1" applyAlignment="1">
      <alignment horizontal="center" vertical="center" wrapText="1"/>
    </xf>
    <xf numFmtId="10" fontId="30" fillId="7" borderId="57" xfId="0" applyNumberFormat="1" applyFont="1" applyFill="1" applyBorder="1" applyAlignment="1">
      <alignment horizontal="center" vertical="center" wrapText="1"/>
    </xf>
    <xf numFmtId="168" fontId="30" fillId="7" borderId="58" xfId="0" applyNumberFormat="1" applyFont="1" applyFill="1" applyBorder="1" applyAlignment="1">
      <alignment horizontal="center" vertical="center" wrapText="1"/>
    </xf>
    <xf numFmtId="168" fontId="31" fillId="0" borderId="50" xfId="0" applyNumberFormat="1" applyFont="1" applyBorder="1" applyAlignment="1">
      <alignment horizontal="center" vertical="center" wrapText="1"/>
    </xf>
    <xf numFmtId="168" fontId="31" fillId="0" borderId="51" xfId="0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en-US"/>
              <a:t>Reserves Allocation</a:t>
            </a:r>
          </a:p>
        </c:rich>
      </c:tx>
      <c:layout>
        <c:manualLayout>
          <c:xMode val="edge"/>
          <c:yMode val="edge"/>
          <c:x val="0.31560277976616558"/>
          <c:y val="3.3639183531810585E-2"/>
        </c:manualLayout>
      </c:layout>
      <c:overlay val="0"/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4161495100577704"/>
          <c:y val="0.31043334136783896"/>
          <c:w val="0.34037303210695247"/>
          <c:h val="0.43511558503197023"/>
        </c:manualLayout>
      </c:layout>
      <c:pie3D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344-4D62-8498-C9553E37D00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F344-4D62-8498-C9553E37D00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F344-4D62-8498-C9553E37D00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F344-4D62-8498-C9553E37D00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F344-4D62-8498-C9553E37D00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F344-4D62-8498-C9553E37D00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F344-4D62-8498-C9553E37D00D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F344-4D62-8498-C9553E37D00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 Narrow"/>
                    <a:ea typeface="Arial Narrow"/>
                    <a:cs typeface="Arial Narrow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Allocation!$A$4:$A$11</c:f>
              <c:strCache>
                <c:ptCount val="8"/>
                <c:pt idx="0">
                  <c:v>Replace 1</c:v>
                </c:pt>
                <c:pt idx="1">
                  <c:v>Replace 2</c:v>
                </c:pt>
                <c:pt idx="2">
                  <c:v>Replace 3</c:v>
                </c:pt>
                <c:pt idx="3">
                  <c:v>Replace 4</c:v>
                </c:pt>
                <c:pt idx="4">
                  <c:v>Maintain 1</c:v>
                </c:pt>
                <c:pt idx="5">
                  <c:v>Maintain 2</c:v>
                </c:pt>
                <c:pt idx="6">
                  <c:v>Combo 1</c:v>
                </c:pt>
                <c:pt idx="7">
                  <c:v>Combo 2</c:v>
                </c:pt>
              </c:strCache>
            </c:strRef>
          </c:cat>
          <c:val>
            <c:numRef>
              <c:f>Allocation!$C$4:$C$11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44-4D62-8498-C9553E37D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6.1079545454545456E-2"/>
          <c:y val="0.15427026167183647"/>
          <c:w val="0.34659090909090912"/>
          <c:h val="0.94215107409094523"/>
        </c:manualLayout>
      </c:layout>
      <c:overlay val="0"/>
      <c:txPr>
        <a:bodyPr/>
        <a:lstStyle/>
        <a:p>
          <a:pPr>
            <a:defRPr sz="845" b="1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366" l="0.70000000000000062" r="0.70000000000000062" t="0.75000000000000366" header="0.30000000000000032" footer="0.30000000000000032"/>
    <c:pageSetup orientation="landscape" copies="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683711594874129E-2"/>
          <c:y val="2.4361356028101279E-2"/>
          <c:w val="0.89061800245983747"/>
          <c:h val="0.84516321984574627"/>
        </c:manualLayout>
      </c:layout>
      <c:barChart>
        <c:barDir val="col"/>
        <c:grouping val="clustered"/>
        <c:varyColors val="0"/>
        <c:ser>
          <c:idx val="0"/>
          <c:order val="0"/>
          <c:tx>
            <c:v>Annual Beginning Balance</c:v>
          </c:tx>
          <c:spPr>
            <a:solidFill>
              <a:schemeClr val="tx2">
                <a:lumMod val="75000"/>
              </a:schemeClr>
            </a:solidFill>
          </c:spPr>
          <c:invertIfNegative val="0"/>
          <c:cat>
            <c:numRef>
              <c:f>('Funding Plan'!$I$12:$AL$12,'Funding Plan'!$I$29:$AK$29)</c:f>
              <c:numCache>
                <c:formatCode>General</c:formatCode>
                <c:ptCount val="59"/>
                <c:pt idx="0">
                  <c:v>2024</c:v>
                </c:pt>
                <c:pt idx="2">
                  <c:v>2025</c:v>
                </c:pt>
                <c:pt idx="4">
                  <c:v>2026</c:v>
                </c:pt>
                <c:pt idx="6">
                  <c:v>2027</c:v>
                </c:pt>
                <c:pt idx="8">
                  <c:v>2028</c:v>
                </c:pt>
                <c:pt idx="10">
                  <c:v>2029</c:v>
                </c:pt>
                <c:pt idx="12">
                  <c:v>2030</c:v>
                </c:pt>
                <c:pt idx="14">
                  <c:v>2031</c:v>
                </c:pt>
                <c:pt idx="16">
                  <c:v>2032</c:v>
                </c:pt>
                <c:pt idx="18">
                  <c:v>2033</c:v>
                </c:pt>
                <c:pt idx="20">
                  <c:v>2034</c:v>
                </c:pt>
                <c:pt idx="22">
                  <c:v>2035</c:v>
                </c:pt>
                <c:pt idx="24">
                  <c:v>2036</c:v>
                </c:pt>
                <c:pt idx="26">
                  <c:v>2037</c:v>
                </c:pt>
                <c:pt idx="28">
                  <c:v>2038</c:v>
                </c:pt>
                <c:pt idx="30">
                  <c:v>2039</c:v>
                </c:pt>
                <c:pt idx="32">
                  <c:v>2040</c:v>
                </c:pt>
                <c:pt idx="34">
                  <c:v>2041</c:v>
                </c:pt>
                <c:pt idx="36">
                  <c:v>2042</c:v>
                </c:pt>
                <c:pt idx="38">
                  <c:v>2043</c:v>
                </c:pt>
                <c:pt idx="40">
                  <c:v>2044</c:v>
                </c:pt>
                <c:pt idx="42">
                  <c:v>2045</c:v>
                </c:pt>
                <c:pt idx="44">
                  <c:v>2046</c:v>
                </c:pt>
                <c:pt idx="46">
                  <c:v>2047</c:v>
                </c:pt>
                <c:pt idx="48">
                  <c:v>2048</c:v>
                </c:pt>
                <c:pt idx="50">
                  <c:v>2049</c:v>
                </c:pt>
                <c:pt idx="52">
                  <c:v>2050</c:v>
                </c:pt>
                <c:pt idx="54">
                  <c:v>2051</c:v>
                </c:pt>
                <c:pt idx="56">
                  <c:v>2052</c:v>
                </c:pt>
                <c:pt idx="58">
                  <c:v>2053</c:v>
                </c:pt>
              </c:numCache>
            </c:numRef>
          </c:cat>
          <c:val>
            <c:numRef>
              <c:f>('Funding Plan'!$I$13:$AL$13,'Funding Plan'!$I$30:$AK$30)</c:f>
              <c:numCache>
                <c:formatCode>"$"#,##0</c:formatCode>
                <c:ptCount val="59"/>
                <c:pt idx="0">
                  <c:v>1111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0</c:v>
                </c:pt>
                <c:pt idx="44">
                  <c:v>0</c:v>
                </c:pt>
                <c:pt idx="46">
                  <c:v>0</c:v>
                </c:pt>
                <c:pt idx="48">
                  <c:v>0</c:v>
                </c:pt>
                <c:pt idx="50">
                  <c:v>0</c:v>
                </c:pt>
                <c:pt idx="52">
                  <c:v>0</c:v>
                </c:pt>
                <c:pt idx="54">
                  <c:v>0</c:v>
                </c:pt>
                <c:pt idx="56">
                  <c:v>0</c:v>
                </c:pt>
                <c:pt idx="5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1-4A86-A500-B2EF09951DA1}"/>
            </c:ext>
          </c:extLst>
        </c:ser>
        <c:ser>
          <c:idx val="3"/>
          <c:order val="1"/>
          <c:tx>
            <c:v>Estimated Annual Expenditures</c:v>
          </c:tx>
          <c:invertIfNegative val="0"/>
          <c:cat>
            <c:numRef>
              <c:f>('Funding Plan'!$I$12:$AL$12,'Funding Plan'!$I$29:$AK$29)</c:f>
              <c:numCache>
                <c:formatCode>General</c:formatCode>
                <c:ptCount val="59"/>
                <c:pt idx="0">
                  <c:v>2024</c:v>
                </c:pt>
                <c:pt idx="2">
                  <c:v>2025</c:v>
                </c:pt>
                <c:pt idx="4">
                  <c:v>2026</c:v>
                </c:pt>
                <c:pt idx="6">
                  <c:v>2027</c:v>
                </c:pt>
                <c:pt idx="8">
                  <c:v>2028</c:v>
                </c:pt>
                <c:pt idx="10">
                  <c:v>2029</c:v>
                </c:pt>
                <c:pt idx="12">
                  <c:v>2030</c:v>
                </c:pt>
                <c:pt idx="14">
                  <c:v>2031</c:v>
                </c:pt>
                <c:pt idx="16">
                  <c:v>2032</c:v>
                </c:pt>
                <c:pt idx="18">
                  <c:v>2033</c:v>
                </c:pt>
                <c:pt idx="20">
                  <c:v>2034</c:v>
                </c:pt>
                <c:pt idx="22">
                  <c:v>2035</c:v>
                </c:pt>
                <c:pt idx="24">
                  <c:v>2036</c:v>
                </c:pt>
                <c:pt idx="26">
                  <c:v>2037</c:v>
                </c:pt>
                <c:pt idx="28">
                  <c:v>2038</c:v>
                </c:pt>
                <c:pt idx="30">
                  <c:v>2039</c:v>
                </c:pt>
                <c:pt idx="32">
                  <c:v>2040</c:v>
                </c:pt>
                <c:pt idx="34">
                  <c:v>2041</c:v>
                </c:pt>
                <c:pt idx="36">
                  <c:v>2042</c:v>
                </c:pt>
                <c:pt idx="38">
                  <c:v>2043</c:v>
                </c:pt>
                <c:pt idx="40">
                  <c:v>2044</c:v>
                </c:pt>
                <c:pt idx="42">
                  <c:v>2045</c:v>
                </c:pt>
                <c:pt idx="44">
                  <c:v>2046</c:v>
                </c:pt>
                <c:pt idx="46">
                  <c:v>2047</c:v>
                </c:pt>
                <c:pt idx="48">
                  <c:v>2048</c:v>
                </c:pt>
                <c:pt idx="50">
                  <c:v>2049</c:v>
                </c:pt>
                <c:pt idx="52">
                  <c:v>2050</c:v>
                </c:pt>
                <c:pt idx="54">
                  <c:v>2051</c:v>
                </c:pt>
                <c:pt idx="56">
                  <c:v>2052</c:v>
                </c:pt>
                <c:pt idx="58">
                  <c:v>2053</c:v>
                </c:pt>
              </c:numCache>
            </c:numRef>
          </c:cat>
          <c:val>
            <c:numRef>
              <c:f>('Funding Plan'!$I$17:$AL$17,'Funding Plan'!$I$34:$AK$34)</c:f>
              <c:numCache>
                <c:formatCode>General</c:formatCode>
                <c:ptCount val="59"/>
                <c:pt idx="0" formatCode="&quot;$&quot;#,##0_);\(&quot;$&quot;#,##0\)">
                  <c:v>0</c:v>
                </c:pt>
                <c:pt idx="2" formatCode="&quot;$&quot;#,##0_);\(&quot;$&quot;#,##0\)">
                  <c:v>0</c:v>
                </c:pt>
                <c:pt idx="4" formatCode="&quot;$&quot;#,##0_);\(&quot;$&quot;#,##0\)">
                  <c:v>0</c:v>
                </c:pt>
                <c:pt idx="6" formatCode="&quot;$&quot;#,##0_);\(&quot;$&quot;#,##0\)">
                  <c:v>0</c:v>
                </c:pt>
                <c:pt idx="8" formatCode="&quot;$&quot;#,##0_);\(&quot;$&quot;#,##0\)">
                  <c:v>0</c:v>
                </c:pt>
                <c:pt idx="10" formatCode="&quot;$&quot;#,##0_);\(&quot;$&quot;#,##0\)">
                  <c:v>0</c:v>
                </c:pt>
                <c:pt idx="12" formatCode="&quot;$&quot;#,##0_);\(&quot;$&quot;#,##0\)">
                  <c:v>0</c:v>
                </c:pt>
                <c:pt idx="14" formatCode="&quot;$&quot;#,##0_);\(&quot;$&quot;#,##0\)">
                  <c:v>0</c:v>
                </c:pt>
                <c:pt idx="16" formatCode="&quot;$&quot;#,##0_);\(&quot;$&quot;#,##0\)">
                  <c:v>0</c:v>
                </c:pt>
                <c:pt idx="18" formatCode="&quot;$&quot;#,##0_);\(&quot;$&quot;#,##0\)">
                  <c:v>0</c:v>
                </c:pt>
                <c:pt idx="20" formatCode="&quot;$&quot;#,##0_);\(&quot;$&quot;#,##0\)">
                  <c:v>0</c:v>
                </c:pt>
                <c:pt idx="22" formatCode="&quot;$&quot;#,##0_);\(&quot;$&quot;#,##0\)">
                  <c:v>0</c:v>
                </c:pt>
                <c:pt idx="24" formatCode="&quot;$&quot;#,##0_);\(&quot;$&quot;#,##0\)">
                  <c:v>0</c:v>
                </c:pt>
                <c:pt idx="26" formatCode="&quot;$&quot;#,##0_);\(&quot;$&quot;#,##0\)">
                  <c:v>0</c:v>
                </c:pt>
                <c:pt idx="28" formatCode="&quot;$&quot;#,##0_);\(&quot;$&quot;#,##0\)">
                  <c:v>0</c:v>
                </c:pt>
                <c:pt idx="30" formatCode="&quot;$&quot;#,##0_);\(&quot;$&quot;#,##0\)">
                  <c:v>0</c:v>
                </c:pt>
                <c:pt idx="32" formatCode="&quot;$&quot;#,##0_);\(&quot;$&quot;#,##0\)">
                  <c:v>0</c:v>
                </c:pt>
                <c:pt idx="34" formatCode="&quot;$&quot;#,##0_);\(&quot;$&quot;#,##0\)">
                  <c:v>0</c:v>
                </c:pt>
                <c:pt idx="36" formatCode="&quot;$&quot;#,##0_);\(&quot;$&quot;#,##0\)">
                  <c:v>0</c:v>
                </c:pt>
                <c:pt idx="38" formatCode="&quot;$&quot;#,##0_);\(&quot;$&quot;#,##0\)">
                  <c:v>0</c:v>
                </c:pt>
                <c:pt idx="40" formatCode="&quot;$&quot;#,##0_);\(&quot;$&quot;#,##0\)">
                  <c:v>0</c:v>
                </c:pt>
                <c:pt idx="42" formatCode="&quot;$&quot;#,##0_);\(&quot;$&quot;#,##0\)">
                  <c:v>0</c:v>
                </c:pt>
                <c:pt idx="44" formatCode="&quot;$&quot;#,##0_);\(&quot;$&quot;#,##0\)">
                  <c:v>0</c:v>
                </c:pt>
                <c:pt idx="46" formatCode="&quot;$&quot;#,##0_);\(&quot;$&quot;#,##0\)">
                  <c:v>0</c:v>
                </c:pt>
                <c:pt idx="48" formatCode="&quot;$&quot;#,##0_);\(&quot;$&quot;#,##0\)">
                  <c:v>0</c:v>
                </c:pt>
                <c:pt idx="50" formatCode="&quot;$&quot;#,##0_);\(&quot;$&quot;#,##0\)">
                  <c:v>0</c:v>
                </c:pt>
                <c:pt idx="52" formatCode="&quot;$&quot;#,##0_);\(&quot;$&quot;#,##0\)">
                  <c:v>0</c:v>
                </c:pt>
                <c:pt idx="54" formatCode="&quot;$&quot;#,##0_);\(&quot;$&quot;#,##0\)">
                  <c:v>0</c:v>
                </c:pt>
                <c:pt idx="56" formatCode="&quot;$&quot;#,##0_);\(&quot;$&quot;#,##0\)">
                  <c:v>0</c:v>
                </c:pt>
                <c:pt idx="58" formatCode="&quot;$&quot;#,##0_);\(&quot;$&quot;#,##0\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81-4A86-A500-B2EF09951DA1}"/>
            </c:ext>
          </c:extLst>
        </c:ser>
        <c:ser>
          <c:idx val="1"/>
          <c:order val="2"/>
          <c:tx>
            <c:v>Recommended Annual Contributions</c:v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numRef>
              <c:f>('Funding Plan'!$I$12:$AL$12,'Funding Plan'!$I$29:$AK$29)</c:f>
              <c:numCache>
                <c:formatCode>General</c:formatCode>
                <c:ptCount val="59"/>
                <c:pt idx="0">
                  <c:v>2024</c:v>
                </c:pt>
                <c:pt idx="2">
                  <c:v>2025</c:v>
                </c:pt>
                <c:pt idx="4">
                  <c:v>2026</c:v>
                </c:pt>
                <c:pt idx="6">
                  <c:v>2027</c:v>
                </c:pt>
                <c:pt idx="8">
                  <c:v>2028</c:v>
                </c:pt>
                <c:pt idx="10">
                  <c:v>2029</c:v>
                </c:pt>
                <c:pt idx="12">
                  <c:v>2030</c:v>
                </c:pt>
                <c:pt idx="14">
                  <c:v>2031</c:v>
                </c:pt>
                <c:pt idx="16">
                  <c:v>2032</c:v>
                </c:pt>
                <c:pt idx="18">
                  <c:v>2033</c:v>
                </c:pt>
                <c:pt idx="20">
                  <c:v>2034</c:v>
                </c:pt>
                <c:pt idx="22">
                  <c:v>2035</c:v>
                </c:pt>
                <c:pt idx="24">
                  <c:v>2036</c:v>
                </c:pt>
                <c:pt idx="26">
                  <c:v>2037</c:v>
                </c:pt>
                <c:pt idx="28">
                  <c:v>2038</c:v>
                </c:pt>
                <c:pt idx="30">
                  <c:v>2039</c:v>
                </c:pt>
                <c:pt idx="32">
                  <c:v>2040</c:v>
                </c:pt>
                <c:pt idx="34">
                  <c:v>2041</c:v>
                </c:pt>
                <c:pt idx="36">
                  <c:v>2042</c:v>
                </c:pt>
                <c:pt idx="38">
                  <c:v>2043</c:v>
                </c:pt>
                <c:pt idx="40">
                  <c:v>2044</c:v>
                </c:pt>
                <c:pt idx="42">
                  <c:v>2045</c:v>
                </c:pt>
                <c:pt idx="44">
                  <c:v>2046</c:v>
                </c:pt>
                <c:pt idx="46">
                  <c:v>2047</c:v>
                </c:pt>
                <c:pt idx="48">
                  <c:v>2048</c:v>
                </c:pt>
                <c:pt idx="50">
                  <c:v>2049</c:v>
                </c:pt>
                <c:pt idx="52">
                  <c:v>2050</c:v>
                </c:pt>
                <c:pt idx="54">
                  <c:v>2051</c:v>
                </c:pt>
                <c:pt idx="56">
                  <c:v>2052</c:v>
                </c:pt>
                <c:pt idx="58">
                  <c:v>2053</c:v>
                </c:pt>
              </c:numCache>
            </c:numRef>
          </c:cat>
          <c:val>
            <c:numRef>
              <c:f>('Funding Plan'!$I$14:$AL$14,'Funding Plan'!$I$31:$AK$31)</c:f>
              <c:numCache>
                <c:formatCode>"$"#,##0_);[Red]\("$"#,##0\)</c:formatCode>
                <c:ptCount val="59"/>
                <c:pt idx="0">
                  <c:v>2000</c:v>
                </c:pt>
                <c:pt idx="2">
                  <c:v>2029.9999999999998</c:v>
                </c:pt>
                <c:pt idx="4">
                  <c:v>2060.4499999999994</c:v>
                </c:pt>
                <c:pt idx="6">
                  <c:v>2091.356749999999</c:v>
                </c:pt>
                <c:pt idx="8">
                  <c:v>2122.7271012499987</c:v>
                </c:pt>
                <c:pt idx="10">
                  <c:v>2154.5680077687484</c:v>
                </c:pt>
                <c:pt idx="12">
                  <c:v>2186.8865278852795</c:v>
                </c:pt>
                <c:pt idx="14">
                  <c:v>2219.6898258035585</c:v>
                </c:pt>
                <c:pt idx="16">
                  <c:v>2252.9851731906115</c:v>
                </c:pt>
                <c:pt idx="18">
                  <c:v>2286.7799507884706</c:v>
                </c:pt>
                <c:pt idx="20">
                  <c:v>2321.0816500502974</c:v>
                </c:pt>
                <c:pt idx="22">
                  <c:v>2355.8978748010518</c:v>
                </c:pt>
                <c:pt idx="24">
                  <c:v>2391.2363429230672</c:v>
                </c:pt>
                <c:pt idx="26">
                  <c:v>2427.1048880669132</c:v>
                </c:pt>
                <c:pt idx="28">
                  <c:v>2463.5114613879168</c:v>
                </c:pt>
                <c:pt idx="30">
                  <c:v>2500.4641333087352</c:v>
                </c:pt>
                <c:pt idx="32">
                  <c:v>2537.9710953083659</c:v>
                </c:pt>
                <c:pt idx="34">
                  <c:v>2576.0406617379913</c:v>
                </c:pt>
                <c:pt idx="36">
                  <c:v>2614.6812716640611</c:v>
                </c:pt>
                <c:pt idx="38">
                  <c:v>2653.9014907390219</c:v>
                </c:pt>
                <c:pt idx="40">
                  <c:v>2693.7100131001071</c:v>
                </c:pt>
                <c:pt idx="42">
                  <c:v>2734.1156632966085</c:v>
                </c:pt>
                <c:pt idx="44">
                  <c:v>2775.1273982460575</c:v>
                </c:pt>
                <c:pt idx="46">
                  <c:v>2816.7543092197479</c:v>
                </c:pt>
                <c:pt idx="48">
                  <c:v>2859.0056238580437</c:v>
                </c:pt>
                <c:pt idx="50">
                  <c:v>2901.8907082159139</c:v>
                </c:pt>
                <c:pt idx="52">
                  <c:v>2945.4190688391523</c:v>
                </c:pt>
                <c:pt idx="54">
                  <c:v>2989.6003548717395</c:v>
                </c:pt>
                <c:pt idx="56">
                  <c:v>3034.4443601948151</c:v>
                </c:pt>
                <c:pt idx="58">
                  <c:v>3079.9610255977368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81-4A86-A500-B2EF09951DA1}"/>
            </c:ext>
          </c:extLst>
        </c:ser>
        <c:ser>
          <c:idx val="2"/>
          <c:order val="3"/>
          <c:tx>
            <c:v>Estimated Interest</c:v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('Funding Plan'!$I$12:$AL$12,'Funding Plan'!$I$29:$AK$29)</c:f>
              <c:numCache>
                <c:formatCode>General</c:formatCode>
                <c:ptCount val="59"/>
                <c:pt idx="0">
                  <c:v>2024</c:v>
                </c:pt>
                <c:pt idx="2">
                  <c:v>2025</c:v>
                </c:pt>
                <c:pt idx="4">
                  <c:v>2026</c:v>
                </c:pt>
                <c:pt idx="6">
                  <c:v>2027</c:v>
                </c:pt>
                <c:pt idx="8">
                  <c:v>2028</c:v>
                </c:pt>
                <c:pt idx="10">
                  <c:v>2029</c:v>
                </c:pt>
                <c:pt idx="12">
                  <c:v>2030</c:v>
                </c:pt>
                <c:pt idx="14">
                  <c:v>2031</c:v>
                </c:pt>
                <c:pt idx="16">
                  <c:v>2032</c:v>
                </c:pt>
                <c:pt idx="18">
                  <c:v>2033</c:v>
                </c:pt>
                <c:pt idx="20">
                  <c:v>2034</c:v>
                </c:pt>
                <c:pt idx="22">
                  <c:v>2035</c:v>
                </c:pt>
                <c:pt idx="24">
                  <c:v>2036</c:v>
                </c:pt>
                <c:pt idx="26">
                  <c:v>2037</c:v>
                </c:pt>
                <c:pt idx="28">
                  <c:v>2038</c:v>
                </c:pt>
                <c:pt idx="30">
                  <c:v>2039</c:v>
                </c:pt>
                <c:pt idx="32">
                  <c:v>2040</c:v>
                </c:pt>
                <c:pt idx="34">
                  <c:v>2041</c:v>
                </c:pt>
                <c:pt idx="36">
                  <c:v>2042</c:v>
                </c:pt>
                <c:pt idx="38">
                  <c:v>2043</c:v>
                </c:pt>
                <c:pt idx="40">
                  <c:v>2044</c:v>
                </c:pt>
                <c:pt idx="42">
                  <c:v>2045</c:v>
                </c:pt>
                <c:pt idx="44">
                  <c:v>2046</c:v>
                </c:pt>
                <c:pt idx="46">
                  <c:v>2047</c:v>
                </c:pt>
                <c:pt idx="48">
                  <c:v>2048</c:v>
                </c:pt>
                <c:pt idx="50">
                  <c:v>2049</c:v>
                </c:pt>
                <c:pt idx="52">
                  <c:v>2050</c:v>
                </c:pt>
                <c:pt idx="54">
                  <c:v>2051</c:v>
                </c:pt>
                <c:pt idx="56">
                  <c:v>2052</c:v>
                </c:pt>
                <c:pt idx="58">
                  <c:v>2053</c:v>
                </c:pt>
              </c:numCache>
            </c:numRef>
          </c:cat>
          <c:val>
            <c:numRef>
              <c:f>('Funding Plan'!$I$16:$AL$16,'Funding Plan'!$I$33:$AK$33)</c:f>
              <c:numCache>
                <c:formatCode>"$"#,##0_);[Red]\("$"#,##0\)</c:formatCode>
                <c:ptCount val="59"/>
                <c:pt idx="0">
                  <c:v>10.157452951876621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0</c:v>
                </c:pt>
                <c:pt idx="30">
                  <c:v>0</c:v>
                </c:pt>
                <c:pt idx="32">
                  <c:v>0</c:v>
                </c:pt>
                <c:pt idx="34">
                  <c:v>0</c:v>
                </c:pt>
                <c:pt idx="36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0</c:v>
                </c:pt>
                <c:pt idx="44">
                  <c:v>0</c:v>
                </c:pt>
                <c:pt idx="46">
                  <c:v>0</c:v>
                </c:pt>
                <c:pt idx="48">
                  <c:v>0</c:v>
                </c:pt>
                <c:pt idx="50">
                  <c:v>0</c:v>
                </c:pt>
                <c:pt idx="52">
                  <c:v>0</c:v>
                </c:pt>
                <c:pt idx="54">
                  <c:v>0</c:v>
                </c:pt>
                <c:pt idx="56">
                  <c:v>0</c:v>
                </c:pt>
                <c:pt idx="5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81-4A86-A500-B2EF09951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2018303"/>
        <c:axId val="1"/>
      </c:barChart>
      <c:catAx>
        <c:axId val="1692018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/>
        </c:spPr>
        <c:txPr>
          <a:bodyPr rot="0" vert="horz"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spPr>
          <a:ln w="6350"/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692018303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003366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666699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993366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845" b="0" i="0" u="none" strike="noStrike" baseline="0">
                <a:solidFill>
                  <a:srgbClr val="3333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8.0202700152676998E-2"/>
          <c:y val="0.86479655796450106"/>
          <c:w val="0.97429729126996389"/>
          <c:h val="0.97607018300794601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95000"/>
      </a:schemeClr>
    </a:solidFill>
    <a:ln w="38100">
      <a:solidFill>
        <a:schemeClr val="tx2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>
      <c:oddHeader>&amp;C&amp;"-,Bold"&amp;14Recommended Reserve Funding Plan</c:oddHeader>
    </c:headerFooter>
    <c:pageMargins b="0.75000000000000366" l="0.70000000000000062" r="0.70000000000000062" t="0.75000000000000366" header="0.30000000000000032" footer="0.30000000000000032"/>
    <c:pageSetup orientation="landscape" copies="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247650</xdr:rowOff>
    </xdr:from>
    <xdr:to>
      <xdr:col>7</xdr:col>
      <xdr:colOff>276225</xdr:colOff>
      <xdr:row>4</xdr:row>
      <xdr:rowOff>228600</xdr:rowOff>
    </xdr:to>
    <xdr:pic>
      <xdr:nvPicPr>
        <xdr:cNvPr id="102211" name="Picture 1">
          <a:extLst>
            <a:ext uri="{FF2B5EF4-FFF2-40B4-BE49-F238E27FC236}">
              <a16:creationId xmlns:a16="http://schemas.microsoft.com/office/drawing/2014/main" id="{E72650E0-8842-6742-6F16-E8ACCD694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"/>
          <a:ext cx="30861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57150</xdr:rowOff>
    </xdr:from>
    <xdr:to>
      <xdr:col>6</xdr:col>
      <xdr:colOff>247650</xdr:colOff>
      <xdr:row>3</xdr:row>
      <xdr:rowOff>371475</xdr:rowOff>
    </xdr:to>
    <xdr:pic>
      <xdr:nvPicPr>
        <xdr:cNvPr id="254769" name="Picture 1">
          <a:extLst>
            <a:ext uri="{FF2B5EF4-FFF2-40B4-BE49-F238E27FC236}">
              <a16:creationId xmlns:a16="http://schemas.microsoft.com/office/drawing/2014/main" id="{11F1D95E-C3C4-8632-E185-101E32D58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57150"/>
          <a:ext cx="31337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57150</xdr:rowOff>
    </xdr:from>
    <xdr:to>
      <xdr:col>6</xdr:col>
      <xdr:colOff>219075</xdr:colOff>
      <xdr:row>3</xdr:row>
      <xdr:rowOff>371475</xdr:rowOff>
    </xdr:to>
    <xdr:pic>
      <xdr:nvPicPr>
        <xdr:cNvPr id="1319192" name="Picture 1">
          <a:extLst>
            <a:ext uri="{FF2B5EF4-FFF2-40B4-BE49-F238E27FC236}">
              <a16:creationId xmlns:a16="http://schemas.microsoft.com/office/drawing/2014/main" id="{B68AE388-0CD3-675B-AF75-34808122E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57150"/>
          <a:ext cx="30765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247650</xdr:rowOff>
    </xdr:from>
    <xdr:to>
      <xdr:col>7</xdr:col>
      <xdr:colOff>276225</xdr:colOff>
      <xdr:row>4</xdr:row>
      <xdr:rowOff>228600</xdr:rowOff>
    </xdr:to>
    <xdr:pic>
      <xdr:nvPicPr>
        <xdr:cNvPr id="1804291" name="Picture 1">
          <a:extLst>
            <a:ext uri="{FF2B5EF4-FFF2-40B4-BE49-F238E27FC236}">
              <a16:creationId xmlns:a16="http://schemas.microsoft.com/office/drawing/2014/main" id="{2D30AA96-42EA-0B6F-CC7A-5D5FDA58B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"/>
          <a:ext cx="30861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0</xdr:row>
      <xdr:rowOff>247650</xdr:rowOff>
    </xdr:from>
    <xdr:to>
      <xdr:col>7</xdr:col>
      <xdr:colOff>276225</xdr:colOff>
      <xdr:row>4</xdr:row>
      <xdr:rowOff>228600</xdr:rowOff>
    </xdr:to>
    <xdr:pic>
      <xdr:nvPicPr>
        <xdr:cNvPr id="1805315" name="Picture 1">
          <a:extLst>
            <a:ext uri="{FF2B5EF4-FFF2-40B4-BE49-F238E27FC236}">
              <a16:creationId xmlns:a16="http://schemas.microsoft.com/office/drawing/2014/main" id="{FA3537DC-EAB5-1618-D329-25DAC6439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"/>
          <a:ext cx="30861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57150</xdr:rowOff>
    </xdr:from>
    <xdr:to>
      <xdr:col>6</xdr:col>
      <xdr:colOff>123825</xdr:colOff>
      <xdr:row>3</xdr:row>
      <xdr:rowOff>342900</xdr:rowOff>
    </xdr:to>
    <xdr:pic>
      <xdr:nvPicPr>
        <xdr:cNvPr id="2958" name="Picture 1">
          <a:extLst>
            <a:ext uri="{FF2B5EF4-FFF2-40B4-BE49-F238E27FC236}">
              <a16:creationId xmlns:a16="http://schemas.microsoft.com/office/drawing/2014/main" id="{CEF66D9F-24E9-A80F-E0DF-9FD782511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57150"/>
          <a:ext cx="30384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57150</xdr:rowOff>
    </xdr:from>
    <xdr:to>
      <xdr:col>6</xdr:col>
      <xdr:colOff>123825</xdr:colOff>
      <xdr:row>3</xdr:row>
      <xdr:rowOff>342900</xdr:rowOff>
    </xdr:to>
    <xdr:pic>
      <xdr:nvPicPr>
        <xdr:cNvPr id="1320361" name="Picture 1">
          <a:extLst>
            <a:ext uri="{FF2B5EF4-FFF2-40B4-BE49-F238E27FC236}">
              <a16:creationId xmlns:a16="http://schemas.microsoft.com/office/drawing/2014/main" id="{E4BC9379-A589-5010-46A3-E0C2223EF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57150"/>
          <a:ext cx="30384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0</xdr:rowOff>
    </xdr:from>
    <xdr:to>
      <xdr:col>6</xdr:col>
      <xdr:colOff>542925</xdr:colOff>
      <xdr:row>3</xdr:row>
      <xdr:rowOff>619125</xdr:rowOff>
    </xdr:to>
    <xdr:pic>
      <xdr:nvPicPr>
        <xdr:cNvPr id="1206601" name="Picture 1">
          <a:extLst>
            <a:ext uri="{FF2B5EF4-FFF2-40B4-BE49-F238E27FC236}">
              <a16:creationId xmlns:a16="http://schemas.microsoft.com/office/drawing/2014/main" id="{12CBAA85-DFE9-E7B5-0B04-1209A375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30480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0</xdr:rowOff>
    </xdr:from>
    <xdr:to>
      <xdr:col>6</xdr:col>
      <xdr:colOff>647700</xdr:colOff>
      <xdr:row>3</xdr:row>
      <xdr:rowOff>619125</xdr:rowOff>
    </xdr:to>
    <xdr:pic>
      <xdr:nvPicPr>
        <xdr:cNvPr id="1321285" name="Picture 1">
          <a:extLst>
            <a:ext uri="{FF2B5EF4-FFF2-40B4-BE49-F238E27FC236}">
              <a16:creationId xmlns:a16="http://schemas.microsoft.com/office/drawing/2014/main" id="{76ECABA4-A3E4-4D0A-880C-EF689D3D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0"/>
          <a:ext cx="30480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6</xdr:row>
      <xdr:rowOff>142875</xdr:rowOff>
    </xdr:from>
    <xdr:to>
      <xdr:col>11</xdr:col>
      <xdr:colOff>600075</xdr:colOff>
      <xdr:row>24</xdr:row>
      <xdr:rowOff>171450</xdr:rowOff>
    </xdr:to>
    <xdr:graphicFrame macro="">
      <xdr:nvGraphicFramePr>
        <xdr:cNvPr id="3942" name="Chart 1">
          <a:extLst>
            <a:ext uri="{FF2B5EF4-FFF2-40B4-BE49-F238E27FC236}">
              <a16:creationId xmlns:a16="http://schemas.microsoft.com/office/drawing/2014/main" id="{2562E059-FF45-8A22-ED7B-BD83CF32D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3</xdr:row>
      <xdr:rowOff>19050</xdr:rowOff>
    </xdr:from>
    <xdr:to>
      <xdr:col>12</xdr:col>
      <xdr:colOff>581025</xdr:colOff>
      <xdr:row>25</xdr:row>
      <xdr:rowOff>0</xdr:rowOff>
    </xdr:to>
    <xdr:graphicFrame macro="">
      <xdr:nvGraphicFramePr>
        <xdr:cNvPr id="5992" name="Chart 1">
          <a:extLst>
            <a:ext uri="{FF2B5EF4-FFF2-40B4-BE49-F238E27FC236}">
              <a16:creationId xmlns:a16="http://schemas.microsoft.com/office/drawing/2014/main" id="{24BEE6D9-8BFD-259D-BD01-6B33DF29F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0F11-FB89-4024-A400-E17403C0D7EF}">
  <sheetPr>
    <pageSetUpPr fitToPage="1"/>
  </sheetPr>
  <dimension ref="B1:BA114"/>
  <sheetViews>
    <sheetView tabSelected="1" zoomScale="32" zoomScaleNormal="32" zoomScaleSheetLayoutView="32" zoomScalePageLayoutView="25" workbookViewId="0">
      <selection activeCell="BC23" sqref="BC23"/>
    </sheetView>
  </sheetViews>
  <sheetFormatPr defaultRowHeight="23.25" x14ac:dyDescent="0.35"/>
  <cols>
    <col min="1" max="1" width="10" style="136" customWidth="1"/>
    <col min="2" max="2" width="6.7109375" style="135" customWidth="1"/>
    <col min="3" max="3" width="1.7109375" style="136" customWidth="1"/>
    <col min="4" max="4" width="17.85546875" style="178" bestFit="1" customWidth="1"/>
    <col min="5" max="5" width="1.7109375" style="138" customWidth="1"/>
    <col min="6" max="6" width="20.7109375" style="135" bestFit="1" customWidth="1"/>
    <col min="7" max="7" width="1.7109375" style="136" customWidth="1"/>
    <col min="8" max="8" width="126.85546875" style="136" customWidth="1"/>
    <col min="9" max="9" width="1.7109375" style="136" customWidth="1"/>
    <col min="10" max="10" width="17.42578125" style="135" customWidth="1"/>
    <col min="11" max="11" width="2.140625" style="136" customWidth="1"/>
    <col min="12" max="12" width="16.5703125" style="135" customWidth="1"/>
    <col min="13" max="13" width="2.28515625" style="136" customWidth="1"/>
    <col min="14" max="14" width="18.7109375" style="135" bestFit="1" customWidth="1"/>
    <col min="15" max="15" width="1.7109375" style="136" customWidth="1"/>
    <col min="16" max="16" width="24.5703125" style="139" customWidth="1"/>
    <col min="17" max="17" width="1.7109375" style="136" customWidth="1"/>
    <col min="18" max="18" width="17.42578125" style="140" customWidth="1"/>
    <col min="19" max="19" width="1.7109375" style="136" customWidth="1"/>
    <col min="20" max="20" width="21.42578125" style="141" customWidth="1"/>
    <col min="21" max="21" width="1.7109375" style="141" customWidth="1"/>
    <col min="22" max="22" width="21.7109375" style="136" customWidth="1"/>
    <col min="23" max="23" width="1.7109375" style="136" customWidth="1"/>
    <col min="24" max="24" width="19.28515625" style="136" bestFit="1" customWidth="1"/>
    <col min="25" max="25" width="1.7109375" style="136" customWidth="1"/>
    <col min="26" max="26" width="19.140625" style="136" customWidth="1"/>
    <col min="27" max="27" width="1.7109375" style="136" customWidth="1"/>
    <col min="28" max="28" width="19.28515625" style="136" bestFit="1" customWidth="1"/>
    <col min="29" max="29" width="1.7109375" style="136" customWidth="1"/>
    <col min="30" max="30" width="19.28515625" style="136" bestFit="1" customWidth="1"/>
    <col min="31" max="31" width="1.7109375" style="136" customWidth="1"/>
    <col min="32" max="32" width="19.28515625" style="136" bestFit="1" customWidth="1"/>
    <col min="33" max="33" width="1.7109375" style="136" customWidth="1"/>
    <col min="34" max="34" width="19.28515625" style="136" bestFit="1" customWidth="1"/>
    <col min="35" max="35" width="1.7109375" style="136" customWidth="1"/>
    <col min="36" max="36" width="19.28515625" style="136" bestFit="1" customWidth="1"/>
    <col min="37" max="37" width="1.7109375" style="136" customWidth="1"/>
    <col min="38" max="38" width="19.28515625" style="136" bestFit="1" customWidth="1"/>
    <col min="39" max="39" width="1.7109375" style="136" customWidth="1"/>
    <col min="40" max="40" width="18.28515625" style="136" bestFit="1" customWidth="1"/>
    <col min="41" max="41" width="1.7109375" style="136" customWidth="1"/>
    <col min="42" max="42" width="18.28515625" style="136" bestFit="1" customWidth="1"/>
    <col min="43" max="43" width="1.7109375" style="136" customWidth="1"/>
    <col min="44" max="44" width="17.140625" style="136" bestFit="1" customWidth="1"/>
    <col min="45" max="45" width="1.7109375" style="136" customWidth="1"/>
    <col min="46" max="46" width="15.140625" style="136" bestFit="1" customWidth="1"/>
    <col min="47" max="47" width="1.7109375" style="136" customWidth="1"/>
    <col min="48" max="48" width="19.140625" style="136" bestFit="1" customWidth="1"/>
    <col min="49" max="49" width="1.7109375" style="136" customWidth="1"/>
    <col min="50" max="50" width="17.140625" style="136" bestFit="1" customWidth="1"/>
    <col min="51" max="51" width="1.7109375" style="136" customWidth="1"/>
    <col min="52" max="52" width="19.140625" style="136" bestFit="1" customWidth="1"/>
    <col min="53" max="53" width="1.7109375" style="136" customWidth="1"/>
    <col min="54" max="16384" width="9.140625" style="136"/>
  </cols>
  <sheetData>
    <row r="1" spans="2:53" ht="23.45" customHeight="1" x14ac:dyDescent="0.35">
      <c r="D1" s="137"/>
      <c r="H1" s="142" t="s">
        <v>31</v>
      </c>
    </row>
    <row r="2" spans="2:53" x14ac:dyDescent="0.35">
      <c r="D2" s="143"/>
      <c r="V2" s="145" t="s">
        <v>10</v>
      </c>
    </row>
    <row r="3" spans="2:53" x14ac:dyDescent="0.35">
      <c r="D3" s="137"/>
      <c r="H3" s="144" t="s">
        <v>8</v>
      </c>
      <c r="P3" s="235" t="s">
        <v>78</v>
      </c>
      <c r="U3" s="146" t="s">
        <v>11</v>
      </c>
      <c r="V3" s="147">
        <v>0.03</v>
      </c>
      <c r="W3" s="148" t="s">
        <v>13</v>
      </c>
    </row>
    <row r="4" spans="2:53" x14ac:dyDescent="0.35">
      <c r="D4" s="149"/>
      <c r="F4" s="150"/>
      <c r="G4" s="151"/>
      <c r="H4" s="142" t="s">
        <v>9</v>
      </c>
      <c r="I4" s="151"/>
      <c r="J4" s="150"/>
      <c r="P4" s="236">
        <v>2023</v>
      </c>
      <c r="U4" s="146" t="s">
        <v>12</v>
      </c>
      <c r="V4" s="141" t="s">
        <v>17</v>
      </c>
    </row>
    <row r="5" spans="2:53" x14ac:dyDescent="0.35">
      <c r="D5" s="137"/>
      <c r="H5" s="152" t="str">
        <f>'Funding Plan'!G9</f>
        <v>Association</v>
      </c>
    </row>
    <row r="6" spans="2:53" s="141" customFormat="1" ht="28.5" customHeight="1" x14ac:dyDescent="0.35">
      <c r="B6" s="283" t="s">
        <v>0</v>
      </c>
      <c r="D6" s="153" t="s">
        <v>32</v>
      </c>
      <c r="E6" s="138"/>
      <c r="F6" s="142"/>
      <c r="J6" s="281" t="s">
        <v>22</v>
      </c>
      <c r="L6" s="285" t="s">
        <v>5</v>
      </c>
      <c r="M6" s="285"/>
      <c r="N6" s="285"/>
      <c r="P6" s="281" t="s">
        <v>21</v>
      </c>
      <c r="R6" s="286" t="s">
        <v>80</v>
      </c>
      <c r="T6" s="288" t="s">
        <v>81</v>
      </c>
      <c r="V6" s="281" t="s">
        <v>6</v>
      </c>
      <c r="W6" s="154"/>
      <c r="X6" s="142">
        <v>1</v>
      </c>
      <c r="Y6" s="142"/>
      <c r="Z6" s="142">
        <v>2</v>
      </c>
      <c r="AA6" s="142"/>
      <c r="AB6" s="142">
        <v>3</v>
      </c>
      <c r="AC6" s="142"/>
      <c r="AD6" s="142">
        <v>4</v>
      </c>
      <c r="AE6" s="142"/>
      <c r="AF6" s="142">
        <v>5</v>
      </c>
      <c r="AG6" s="142"/>
      <c r="AH6" s="142">
        <v>6</v>
      </c>
      <c r="AI6" s="142"/>
      <c r="AJ6" s="142">
        <v>7</v>
      </c>
      <c r="AK6" s="142"/>
      <c r="AL6" s="142">
        <v>8</v>
      </c>
      <c r="AM6" s="142"/>
      <c r="AN6" s="142">
        <v>9</v>
      </c>
      <c r="AO6" s="142"/>
      <c r="AP6" s="142">
        <v>10</v>
      </c>
      <c r="AQ6" s="142"/>
      <c r="AR6" s="142">
        <v>11</v>
      </c>
      <c r="AS6" s="142"/>
      <c r="AT6" s="142">
        <v>12</v>
      </c>
      <c r="AU6" s="142"/>
      <c r="AV6" s="142">
        <v>13</v>
      </c>
      <c r="AW6" s="142"/>
      <c r="AX6" s="142">
        <v>14</v>
      </c>
      <c r="AY6" s="142"/>
      <c r="AZ6" s="142">
        <v>15</v>
      </c>
      <c r="BA6" s="142"/>
    </row>
    <row r="7" spans="2:53" s="155" customFormat="1" ht="27.75" customHeight="1" x14ac:dyDescent="0.25">
      <c r="B7" s="284"/>
      <c r="D7" s="156" t="s">
        <v>30</v>
      </c>
      <c r="E7" s="157"/>
      <c r="F7" s="158" t="s">
        <v>1</v>
      </c>
      <c r="H7" s="158" t="s">
        <v>2</v>
      </c>
      <c r="J7" s="282"/>
      <c r="L7" s="158" t="s">
        <v>3</v>
      </c>
      <c r="N7" s="159" t="s">
        <v>4</v>
      </c>
      <c r="P7" s="282"/>
      <c r="R7" s="287"/>
      <c r="T7" s="289"/>
      <c r="V7" s="282"/>
      <c r="W7" s="154"/>
      <c r="X7" s="160">
        <v>2024</v>
      </c>
      <c r="Y7" s="158"/>
      <c r="Z7" s="158">
        <f t="shared" ref="Z7:AZ7" si="0">X7+1</f>
        <v>2025</v>
      </c>
      <c r="AA7" s="158">
        <f t="shared" si="0"/>
        <v>1</v>
      </c>
      <c r="AB7" s="158">
        <f t="shared" si="0"/>
        <v>2026</v>
      </c>
      <c r="AC7" s="158">
        <f t="shared" si="0"/>
        <v>2</v>
      </c>
      <c r="AD7" s="158">
        <f t="shared" si="0"/>
        <v>2027</v>
      </c>
      <c r="AE7" s="158">
        <f t="shared" si="0"/>
        <v>3</v>
      </c>
      <c r="AF7" s="158">
        <f t="shared" si="0"/>
        <v>2028</v>
      </c>
      <c r="AG7" s="158">
        <f t="shared" si="0"/>
        <v>4</v>
      </c>
      <c r="AH7" s="158">
        <f t="shared" si="0"/>
        <v>2029</v>
      </c>
      <c r="AI7" s="158">
        <f t="shared" si="0"/>
        <v>5</v>
      </c>
      <c r="AJ7" s="158">
        <f t="shared" si="0"/>
        <v>2030</v>
      </c>
      <c r="AK7" s="158">
        <f t="shared" si="0"/>
        <v>6</v>
      </c>
      <c r="AL7" s="158">
        <f t="shared" si="0"/>
        <v>2031</v>
      </c>
      <c r="AM7" s="158">
        <f t="shared" si="0"/>
        <v>7</v>
      </c>
      <c r="AN7" s="158">
        <f t="shared" si="0"/>
        <v>2032</v>
      </c>
      <c r="AO7" s="158">
        <f t="shared" si="0"/>
        <v>8</v>
      </c>
      <c r="AP7" s="158">
        <f t="shared" si="0"/>
        <v>2033</v>
      </c>
      <c r="AQ7" s="158">
        <f t="shared" si="0"/>
        <v>9</v>
      </c>
      <c r="AR7" s="158">
        <f t="shared" si="0"/>
        <v>2034</v>
      </c>
      <c r="AS7" s="158">
        <f t="shared" si="0"/>
        <v>10</v>
      </c>
      <c r="AT7" s="158">
        <f t="shared" si="0"/>
        <v>2035</v>
      </c>
      <c r="AU7" s="158">
        <f t="shared" si="0"/>
        <v>11</v>
      </c>
      <c r="AV7" s="158">
        <f t="shared" si="0"/>
        <v>2036</v>
      </c>
      <c r="AW7" s="158">
        <f t="shared" si="0"/>
        <v>12</v>
      </c>
      <c r="AX7" s="158">
        <f t="shared" si="0"/>
        <v>2037</v>
      </c>
      <c r="AY7" s="158">
        <f t="shared" si="0"/>
        <v>13</v>
      </c>
      <c r="AZ7" s="158">
        <f t="shared" si="0"/>
        <v>2038</v>
      </c>
    </row>
    <row r="8" spans="2:53" s="155" customFormat="1" ht="9.4" customHeight="1" x14ac:dyDescent="0.25">
      <c r="B8" s="154"/>
      <c r="D8" s="161"/>
      <c r="E8" s="157"/>
      <c r="F8" s="154"/>
      <c r="H8" s="154"/>
      <c r="J8" s="154"/>
      <c r="L8" s="154"/>
      <c r="N8" s="154"/>
      <c r="R8" s="162"/>
      <c r="T8" s="163"/>
      <c r="V8" s="154"/>
      <c r="W8" s="154"/>
    </row>
    <row r="9" spans="2:53" x14ac:dyDescent="0.35">
      <c r="D9" s="137"/>
      <c r="H9" s="164" t="s">
        <v>79</v>
      </c>
      <c r="P9" s="136"/>
      <c r="R9" s="139"/>
      <c r="T9" s="140"/>
      <c r="U9" s="136"/>
      <c r="V9" s="141"/>
      <c r="W9" s="141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</row>
    <row r="10" spans="2:53" ht="9.4" customHeight="1" x14ac:dyDescent="0.35">
      <c r="D10" s="137"/>
      <c r="H10" s="144"/>
      <c r="P10" s="136"/>
      <c r="R10" s="165"/>
      <c r="S10" s="135"/>
      <c r="T10" s="166"/>
      <c r="U10" s="135"/>
      <c r="V10" s="142"/>
      <c r="W10" s="141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</row>
    <row r="11" spans="2:53" x14ac:dyDescent="0.35">
      <c r="B11" s="168">
        <v>1</v>
      </c>
      <c r="C11" s="169"/>
      <c r="D11" s="170">
        <v>1</v>
      </c>
      <c r="E11" s="171"/>
      <c r="F11" s="168" t="s">
        <v>45</v>
      </c>
      <c r="G11" s="169"/>
      <c r="H11" s="169" t="s">
        <v>45</v>
      </c>
      <c r="I11" s="169"/>
      <c r="J11" s="168">
        <v>1</v>
      </c>
      <c r="K11" s="169">
        <v>23</v>
      </c>
      <c r="L11" s="168">
        <v>1</v>
      </c>
      <c r="M11" s="169"/>
      <c r="N11" s="241">
        <f>P11-O11</f>
        <v>-1999</v>
      </c>
      <c r="O11" s="237">
        <f>P4</f>
        <v>2023</v>
      </c>
      <c r="P11" s="234">
        <f>J11+K11</f>
        <v>24</v>
      </c>
      <c r="Q11" s="169"/>
      <c r="R11" s="172">
        <v>1</v>
      </c>
      <c r="S11" s="173"/>
      <c r="T11" s="174">
        <f>D11*R11</f>
        <v>1</v>
      </c>
      <c r="U11" s="174"/>
      <c r="V11" s="175">
        <f t="shared" ref="V11:V50" si="1">SUM(X11:AZ11)+SUM(J61:AL61)</f>
        <v>0</v>
      </c>
      <c r="W11" s="175"/>
      <c r="X11" s="174">
        <f>IF(X$6=$N11,FV($V$3,$N11-1,,-$T11,0),0)</f>
        <v>0</v>
      </c>
      <c r="Y11" s="175"/>
      <c r="Z11" s="174">
        <f t="shared" ref="Z11:Z50" si="2">IF(Z$6=$N11,FV($V$3,$N11-1,,-$T11,0),0)</f>
        <v>0</v>
      </c>
      <c r="AA11" s="175"/>
      <c r="AB11" s="174">
        <f t="shared" ref="AB11:AB50" si="3">IF(AB$6=$N11,FV($V$3,$N11-1,,-$T11,0),0)</f>
        <v>0</v>
      </c>
      <c r="AC11" s="175"/>
      <c r="AD11" s="174">
        <f t="shared" ref="AD11:AD50" si="4">IF(AD$6=$N11,FV($V$3,$N11-1,,-$T11,0),0)</f>
        <v>0</v>
      </c>
      <c r="AE11" s="175"/>
      <c r="AF11" s="174">
        <f t="shared" ref="AF11:AF50" si="5">IF(AF$6=$N11,FV($V$3,$N11-1,,-$T11,0),0)</f>
        <v>0</v>
      </c>
      <c r="AG11" s="175"/>
      <c r="AH11" s="174">
        <f t="shared" ref="AH11:AH50" si="6">IF(AH$6=$N11,FV($V$3,$N11-1,,-$T11,0),0)</f>
        <v>0</v>
      </c>
      <c r="AI11" s="175"/>
      <c r="AJ11" s="174">
        <f t="shared" ref="AJ11:AJ50" si="7">IF(AJ$6=$N11,FV($V$3,$N11-1,,-$T11,0),0)</f>
        <v>0</v>
      </c>
      <c r="AK11" s="175"/>
      <c r="AL11" s="174">
        <f t="shared" ref="AL11:AL50" si="8">IF(AL$6=$N11,FV($V$3,$N11-1,,-$T11,0),0)</f>
        <v>0</v>
      </c>
      <c r="AM11" s="175"/>
      <c r="AN11" s="174">
        <f t="shared" ref="AN11:AN50" si="9">IF(AN$6=$N11,FV($V$3,$N11-1,,-$T11,0),0)</f>
        <v>0</v>
      </c>
      <c r="AO11" s="175"/>
      <c r="AP11" s="174">
        <f t="shared" ref="AP11:AP50" si="10">IF(AP$6=$N11,FV($V$3,$N11-1,,-$T11,0),0)</f>
        <v>0</v>
      </c>
      <c r="AQ11" s="175"/>
      <c r="AR11" s="174">
        <f t="shared" ref="AR11:AR50" si="11">IF(AR$6=$N11,FV($V$3,$N11-1,,-$T11,0),0)</f>
        <v>0</v>
      </c>
      <c r="AS11" s="175"/>
      <c r="AT11" s="174">
        <f t="shared" ref="AT11:AT50" si="12">IF(AT$6=$N11,FV($V$3,$N11-1,,-$T11,0),0)</f>
        <v>0</v>
      </c>
      <c r="AU11" s="175"/>
      <c r="AV11" s="174">
        <f t="shared" ref="AV11:AV50" si="13">IF(AV$6=$N11,FV($V$3,$N11-1,,-$T11,0),0)</f>
        <v>0</v>
      </c>
      <c r="AW11" s="175"/>
      <c r="AX11" s="174">
        <f t="shared" ref="AX11:AX50" si="14">IF(AX$6=$N11,FV($V$3,$N11-1,,-$T11,0),0)</f>
        <v>0</v>
      </c>
      <c r="AY11" s="175"/>
      <c r="AZ11" s="174">
        <f t="shared" ref="AZ11:AZ50" si="15">IF(AZ$6=$N11,FV($V$3,$N11-1,,-$T11,0),0)</f>
        <v>0</v>
      </c>
    </row>
    <row r="12" spans="2:53" x14ac:dyDescent="0.35">
      <c r="B12" s="168">
        <f>+B11+1</f>
        <v>2</v>
      </c>
      <c r="C12" s="169"/>
      <c r="D12" s="170">
        <v>1</v>
      </c>
      <c r="E12" s="171"/>
      <c r="F12" s="168" t="str">
        <f>F11</f>
        <v>x</v>
      </c>
      <c r="G12" s="169"/>
      <c r="H12" s="169" t="s">
        <v>45</v>
      </c>
      <c r="I12" s="169"/>
      <c r="J12" s="168">
        <v>1</v>
      </c>
      <c r="K12" s="169">
        <v>23</v>
      </c>
      <c r="L12" s="168">
        <f>L11</f>
        <v>1</v>
      </c>
      <c r="M12" s="169"/>
      <c r="N12" s="241">
        <f t="shared" ref="N12:N50" si="16">P12-O12</f>
        <v>-1999</v>
      </c>
      <c r="O12" s="237">
        <f t="shared" ref="O12:O22" si="17">O11</f>
        <v>2023</v>
      </c>
      <c r="P12" s="234">
        <f t="shared" ref="P12:P50" si="18">J12+K12</f>
        <v>24</v>
      </c>
      <c r="Q12" s="169"/>
      <c r="R12" s="172">
        <f>R11</f>
        <v>1</v>
      </c>
      <c r="S12" s="173"/>
      <c r="T12" s="174">
        <f t="shared" ref="T12:T43" si="19">D12*R12</f>
        <v>1</v>
      </c>
      <c r="U12" s="174"/>
      <c r="V12" s="175">
        <f t="shared" si="1"/>
        <v>0</v>
      </c>
      <c r="W12" s="171"/>
      <c r="X12" s="174">
        <f t="shared" ref="X12:X50" si="20">IF(X$6=$N12,FV($V$3,$N12-1,,-$T12,0),0)</f>
        <v>0</v>
      </c>
      <c r="Y12" s="174"/>
      <c r="Z12" s="174">
        <f t="shared" si="2"/>
        <v>0</v>
      </c>
      <c r="AA12" s="174"/>
      <c r="AB12" s="174">
        <f t="shared" si="3"/>
        <v>0</v>
      </c>
      <c r="AC12" s="174"/>
      <c r="AD12" s="174">
        <f t="shared" si="4"/>
        <v>0</v>
      </c>
      <c r="AE12" s="174"/>
      <c r="AF12" s="174">
        <f t="shared" si="5"/>
        <v>0</v>
      </c>
      <c r="AG12" s="174"/>
      <c r="AH12" s="174">
        <f t="shared" si="6"/>
        <v>0</v>
      </c>
      <c r="AI12" s="174"/>
      <c r="AJ12" s="174">
        <f t="shared" si="7"/>
        <v>0</v>
      </c>
      <c r="AK12" s="174"/>
      <c r="AL12" s="174">
        <f t="shared" si="8"/>
        <v>0</v>
      </c>
      <c r="AM12" s="174"/>
      <c r="AN12" s="174">
        <f t="shared" si="9"/>
        <v>0</v>
      </c>
      <c r="AO12" s="174"/>
      <c r="AP12" s="174">
        <f t="shared" si="10"/>
        <v>0</v>
      </c>
      <c r="AQ12" s="174"/>
      <c r="AR12" s="174">
        <f t="shared" si="11"/>
        <v>0</v>
      </c>
      <c r="AS12" s="174"/>
      <c r="AT12" s="174">
        <f t="shared" si="12"/>
        <v>0</v>
      </c>
      <c r="AU12" s="174"/>
      <c r="AV12" s="174">
        <f t="shared" si="13"/>
        <v>0</v>
      </c>
      <c r="AW12" s="174"/>
      <c r="AX12" s="174">
        <f t="shared" si="14"/>
        <v>0</v>
      </c>
      <c r="AY12" s="174"/>
      <c r="AZ12" s="174">
        <f t="shared" si="15"/>
        <v>0</v>
      </c>
    </row>
    <row r="13" spans="2:53" x14ac:dyDescent="0.35">
      <c r="B13" s="168">
        <f>+B12+1</f>
        <v>3</v>
      </c>
      <c r="C13" s="169"/>
      <c r="D13" s="170">
        <v>1</v>
      </c>
      <c r="E13" s="171"/>
      <c r="F13" s="168" t="str">
        <f t="shared" ref="F13:F50" si="21">F12</f>
        <v>x</v>
      </c>
      <c r="G13" s="169"/>
      <c r="H13" s="169" t="s">
        <v>45</v>
      </c>
      <c r="I13" s="169"/>
      <c r="J13" s="168">
        <v>1</v>
      </c>
      <c r="K13" s="169">
        <v>23</v>
      </c>
      <c r="L13" s="168">
        <f t="shared" ref="L13:L50" si="22">L12</f>
        <v>1</v>
      </c>
      <c r="M13" s="169"/>
      <c r="N13" s="241">
        <f t="shared" si="16"/>
        <v>-1999</v>
      </c>
      <c r="O13" s="237">
        <f t="shared" si="17"/>
        <v>2023</v>
      </c>
      <c r="P13" s="234">
        <f t="shared" si="18"/>
        <v>24</v>
      </c>
      <c r="Q13" s="169"/>
      <c r="R13" s="172">
        <f t="shared" ref="R13:R50" si="23">R12</f>
        <v>1</v>
      </c>
      <c r="S13" s="173"/>
      <c r="T13" s="174">
        <f t="shared" si="19"/>
        <v>1</v>
      </c>
      <c r="U13" s="174"/>
      <c r="V13" s="175">
        <f t="shared" si="1"/>
        <v>0</v>
      </c>
      <c r="W13" s="171"/>
      <c r="X13" s="174">
        <f t="shared" si="20"/>
        <v>0</v>
      </c>
      <c r="Y13" s="174"/>
      <c r="Z13" s="174">
        <f t="shared" si="2"/>
        <v>0</v>
      </c>
      <c r="AA13" s="174"/>
      <c r="AB13" s="174">
        <f t="shared" si="3"/>
        <v>0</v>
      </c>
      <c r="AC13" s="174"/>
      <c r="AD13" s="174">
        <f t="shared" si="4"/>
        <v>0</v>
      </c>
      <c r="AE13" s="174"/>
      <c r="AF13" s="174">
        <f t="shared" si="5"/>
        <v>0</v>
      </c>
      <c r="AG13" s="174"/>
      <c r="AH13" s="174">
        <f t="shared" si="6"/>
        <v>0</v>
      </c>
      <c r="AI13" s="174"/>
      <c r="AJ13" s="174">
        <f t="shared" si="7"/>
        <v>0</v>
      </c>
      <c r="AK13" s="174"/>
      <c r="AL13" s="174">
        <f t="shared" si="8"/>
        <v>0</v>
      </c>
      <c r="AM13" s="174"/>
      <c r="AN13" s="174">
        <f t="shared" si="9"/>
        <v>0</v>
      </c>
      <c r="AO13" s="174"/>
      <c r="AP13" s="174">
        <f t="shared" si="10"/>
        <v>0</v>
      </c>
      <c r="AQ13" s="174"/>
      <c r="AR13" s="174">
        <f t="shared" si="11"/>
        <v>0</v>
      </c>
      <c r="AS13" s="174"/>
      <c r="AT13" s="174">
        <f t="shared" si="12"/>
        <v>0</v>
      </c>
      <c r="AU13" s="174"/>
      <c r="AV13" s="174">
        <f t="shared" si="13"/>
        <v>0</v>
      </c>
      <c r="AW13" s="174"/>
      <c r="AX13" s="174">
        <f t="shared" si="14"/>
        <v>0</v>
      </c>
      <c r="AY13" s="174"/>
      <c r="AZ13" s="174">
        <f t="shared" si="15"/>
        <v>0</v>
      </c>
    </row>
    <row r="14" spans="2:53" x14ac:dyDescent="0.35">
      <c r="B14" s="135">
        <f>+B13+1</f>
        <v>4</v>
      </c>
      <c r="D14" s="137">
        <v>1</v>
      </c>
      <c r="F14" s="135" t="str">
        <f t="shared" si="21"/>
        <v>x</v>
      </c>
      <c r="H14" s="136" t="s">
        <v>45</v>
      </c>
      <c r="J14" s="135">
        <v>1</v>
      </c>
      <c r="K14" s="136">
        <v>23</v>
      </c>
      <c r="L14" s="135">
        <f t="shared" si="22"/>
        <v>1</v>
      </c>
      <c r="N14" s="279">
        <f t="shared" si="16"/>
        <v>-1999</v>
      </c>
      <c r="O14" s="238">
        <f t="shared" si="17"/>
        <v>2023</v>
      </c>
      <c r="P14" s="280">
        <f t="shared" si="18"/>
        <v>24</v>
      </c>
      <c r="R14" s="176">
        <f t="shared" si="23"/>
        <v>1</v>
      </c>
      <c r="S14" s="177"/>
      <c r="T14" s="178">
        <f t="shared" si="19"/>
        <v>1</v>
      </c>
      <c r="U14" s="178"/>
      <c r="V14" s="179">
        <f t="shared" si="1"/>
        <v>0</v>
      </c>
      <c r="W14" s="138"/>
      <c r="X14" s="178">
        <f t="shared" si="20"/>
        <v>0</v>
      </c>
      <c r="Y14" s="178"/>
      <c r="Z14" s="178">
        <f t="shared" si="2"/>
        <v>0</v>
      </c>
      <c r="AA14" s="178"/>
      <c r="AB14" s="178">
        <f t="shared" si="3"/>
        <v>0</v>
      </c>
      <c r="AC14" s="178"/>
      <c r="AD14" s="178">
        <f t="shared" si="4"/>
        <v>0</v>
      </c>
      <c r="AE14" s="178"/>
      <c r="AF14" s="178">
        <f t="shared" si="5"/>
        <v>0</v>
      </c>
      <c r="AG14" s="178"/>
      <c r="AH14" s="178">
        <f t="shared" si="6"/>
        <v>0</v>
      </c>
      <c r="AI14" s="178"/>
      <c r="AJ14" s="178">
        <f t="shared" si="7"/>
        <v>0</v>
      </c>
      <c r="AK14" s="178"/>
      <c r="AL14" s="178">
        <f t="shared" si="8"/>
        <v>0</v>
      </c>
      <c r="AM14" s="178"/>
      <c r="AN14" s="178">
        <f t="shared" si="9"/>
        <v>0</v>
      </c>
      <c r="AO14" s="178"/>
      <c r="AP14" s="178">
        <f t="shared" si="10"/>
        <v>0</v>
      </c>
      <c r="AQ14" s="178"/>
      <c r="AR14" s="178">
        <f t="shared" si="11"/>
        <v>0</v>
      </c>
      <c r="AS14" s="178"/>
      <c r="AT14" s="178">
        <f t="shared" si="12"/>
        <v>0</v>
      </c>
      <c r="AU14" s="178"/>
      <c r="AV14" s="178">
        <f t="shared" si="13"/>
        <v>0</v>
      </c>
      <c r="AW14" s="178"/>
      <c r="AX14" s="178">
        <f t="shared" si="14"/>
        <v>0</v>
      </c>
      <c r="AY14" s="178"/>
      <c r="AZ14" s="178">
        <f t="shared" si="15"/>
        <v>0</v>
      </c>
    </row>
    <row r="15" spans="2:53" x14ac:dyDescent="0.35">
      <c r="B15" s="135">
        <f t="shared" ref="B15:B32" si="24">+B14+1</f>
        <v>5</v>
      </c>
      <c r="D15" s="137">
        <v>1</v>
      </c>
      <c r="F15" s="135" t="str">
        <f t="shared" si="21"/>
        <v>x</v>
      </c>
      <c r="H15" s="136" t="s">
        <v>45</v>
      </c>
      <c r="J15" s="135">
        <v>1</v>
      </c>
      <c r="K15" s="136">
        <v>23</v>
      </c>
      <c r="L15" s="135">
        <f t="shared" si="22"/>
        <v>1</v>
      </c>
      <c r="N15" s="279">
        <f t="shared" si="16"/>
        <v>-1999</v>
      </c>
      <c r="O15" s="238">
        <f t="shared" si="17"/>
        <v>2023</v>
      </c>
      <c r="P15" s="280">
        <f t="shared" si="18"/>
        <v>24</v>
      </c>
      <c r="R15" s="176">
        <f t="shared" si="23"/>
        <v>1</v>
      </c>
      <c r="S15" s="177"/>
      <c r="T15" s="178">
        <f t="shared" si="19"/>
        <v>1</v>
      </c>
      <c r="U15" s="178"/>
      <c r="V15" s="179">
        <f t="shared" si="1"/>
        <v>0</v>
      </c>
      <c r="W15" s="138"/>
      <c r="X15" s="178">
        <f t="shared" si="20"/>
        <v>0</v>
      </c>
      <c r="Y15" s="178"/>
      <c r="Z15" s="178">
        <f t="shared" si="2"/>
        <v>0</v>
      </c>
      <c r="AA15" s="178"/>
      <c r="AB15" s="178">
        <f t="shared" si="3"/>
        <v>0</v>
      </c>
      <c r="AC15" s="178"/>
      <c r="AD15" s="178">
        <f t="shared" si="4"/>
        <v>0</v>
      </c>
      <c r="AE15" s="178"/>
      <c r="AF15" s="178">
        <f t="shared" si="5"/>
        <v>0</v>
      </c>
      <c r="AG15" s="178"/>
      <c r="AH15" s="178">
        <f t="shared" si="6"/>
        <v>0</v>
      </c>
      <c r="AI15" s="178"/>
      <c r="AJ15" s="178">
        <f t="shared" si="7"/>
        <v>0</v>
      </c>
      <c r="AK15" s="178"/>
      <c r="AL15" s="178">
        <f t="shared" si="8"/>
        <v>0</v>
      </c>
      <c r="AM15" s="178"/>
      <c r="AN15" s="178">
        <f t="shared" si="9"/>
        <v>0</v>
      </c>
      <c r="AO15" s="178"/>
      <c r="AP15" s="178">
        <f t="shared" si="10"/>
        <v>0</v>
      </c>
      <c r="AQ15" s="178"/>
      <c r="AR15" s="178">
        <f t="shared" si="11"/>
        <v>0</v>
      </c>
      <c r="AS15" s="178"/>
      <c r="AT15" s="178">
        <f t="shared" si="12"/>
        <v>0</v>
      </c>
      <c r="AU15" s="178"/>
      <c r="AV15" s="178">
        <f t="shared" si="13"/>
        <v>0</v>
      </c>
      <c r="AW15" s="178"/>
      <c r="AX15" s="178">
        <f t="shared" si="14"/>
        <v>0</v>
      </c>
      <c r="AY15" s="178"/>
      <c r="AZ15" s="178">
        <f t="shared" si="15"/>
        <v>0</v>
      </c>
    </row>
    <row r="16" spans="2:53" x14ac:dyDescent="0.35">
      <c r="B16" s="135">
        <f t="shared" si="24"/>
        <v>6</v>
      </c>
      <c r="D16" s="137">
        <v>1</v>
      </c>
      <c r="F16" s="135" t="str">
        <f t="shared" si="21"/>
        <v>x</v>
      </c>
      <c r="H16" s="136" t="s">
        <v>45</v>
      </c>
      <c r="J16" s="135">
        <v>1</v>
      </c>
      <c r="K16" s="136">
        <v>23</v>
      </c>
      <c r="L16" s="135">
        <f t="shared" si="22"/>
        <v>1</v>
      </c>
      <c r="N16" s="279">
        <f t="shared" si="16"/>
        <v>-1999</v>
      </c>
      <c r="O16" s="238">
        <f t="shared" si="17"/>
        <v>2023</v>
      </c>
      <c r="P16" s="280">
        <f t="shared" si="18"/>
        <v>24</v>
      </c>
      <c r="R16" s="176">
        <f t="shared" si="23"/>
        <v>1</v>
      </c>
      <c r="S16" s="177"/>
      <c r="T16" s="178">
        <f t="shared" si="19"/>
        <v>1</v>
      </c>
      <c r="U16" s="178"/>
      <c r="V16" s="179">
        <f t="shared" si="1"/>
        <v>0</v>
      </c>
      <c r="W16" s="138"/>
      <c r="X16" s="178">
        <f t="shared" si="20"/>
        <v>0</v>
      </c>
      <c r="Y16" s="178"/>
      <c r="Z16" s="178">
        <f t="shared" si="2"/>
        <v>0</v>
      </c>
      <c r="AA16" s="178"/>
      <c r="AB16" s="178">
        <f t="shared" si="3"/>
        <v>0</v>
      </c>
      <c r="AC16" s="178"/>
      <c r="AD16" s="178">
        <f t="shared" si="4"/>
        <v>0</v>
      </c>
      <c r="AE16" s="178"/>
      <c r="AF16" s="178">
        <f t="shared" si="5"/>
        <v>0</v>
      </c>
      <c r="AG16" s="178"/>
      <c r="AH16" s="178">
        <f t="shared" si="6"/>
        <v>0</v>
      </c>
      <c r="AI16" s="178"/>
      <c r="AJ16" s="178">
        <f t="shared" si="7"/>
        <v>0</v>
      </c>
      <c r="AK16" s="178"/>
      <c r="AL16" s="178">
        <f t="shared" si="8"/>
        <v>0</v>
      </c>
      <c r="AM16" s="178"/>
      <c r="AN16" s="178">
        <f t="shared" si="9"/>
        <v>0</v>
      </c>
      <c r="AO16" s="178"/>
      <c r="AP16" s="178">
        <f t="shared" si="10"/>
        <v>0</v>
      </c>
      <c r="AQ16" s="178"/>
      <c r="AR16" s="178">
        <f t="shared" si="11"/>
        <v>0</v>
      </c>
      <c r="AS16" s="178"/>
      <c r="AT16" s="178">
        <f t="shared" si="12"/>
        <v>0</v>
      </c>
      <c r="AU16" s="178"/>
      <c r="AV16" s="178">
        <f t="shared" si="13"/>
        <v>0</v>
      </c>
      <c r="AW16" s="178"/>
      <c r="AX16" s="178">
        <f t="shared" si="14"/>
        <v>0</v>
      </c>
      <c r="AY16" s="178"/>
      <c r="AZ16" s="178">
        <f t="shared" si="15"/>
        <v>0</v>
      </c>
    </row>
    <row r="17" spans="2:53" x14ac:dyDescent="0.35">
      <c r="B17" s="168">
        <f t="shared" si="24"/>
        <v>7</v>
      </c>
      <c r="C17" s="169"/>
      <c r="D17" s="170">
        <v>1</v>
      </c>
      <c r="E17" s="171"/>
      <c r="F17" s="168" t="str">
        <f t="shared" si="21"/>
        <v>x</v>
      </c>
      <c r="G17" s="170"/>
      <c r="H17" s="169" t="s">
        <v>45</v>
      </c>
      <c r="I17" s="169"/>
      <c r="J17" s="168">
        <v>1</v>
      </c>
      <c r="K17" s="169">
        <v>23</v>
      </c>
      <c r="L17" s="168">
        <f t="shared" si="22"/>
        <v>1</v>
      </c>
      <c r="M17" s="169"/>
      <c r="N17" s="241">
        <f t="shared" si="16"/>
        <v>-1999</v>
      </c>
      <c r="O17" s="237">
        <f t="shared" si="17"/>
        <v>2023</v>
      </c>
      <c r="P17" s="234">
        <f t="shared" si="18"/>
        <v>24</v>
      </c>
      <c r="Q17" s="169"/>
      <c r="R17" s="172">
        <f t="shared" si="23"/>
        <v>1</v>
      </c>
      <c r="S17" s="173"/>
      <c r="T17" s="174">
        <f t="shared" si="19"/>
        <v>1</v>
      </c>
      <c r="U17" s="174"/>
      <c r="V17" s="175">
        <f t="shared" si="1"/>
        <v>0</v>
      </c>
      <c r="W17" s="171"/>
      <c r="X17" s="174">
        <f t="shared" si="20"/>
        <v>0</v>
      </c>
      <c r="Y17" s="174"/>
      <c r="Z17" s="174">
        <f t="shared" si="2"/>
        <v>0</v>
      </c>
      <c r="AA17" s="174"/>
      <c r="AB17" s="174">
        <f t="shared" si="3"/>
        <v>0</v>
      </c>
      <c r="AC17" s="174"/>
      <c r="AD17" s="174">
        <f t="shared" si="4"/>
        <v>0</v>
      </c>
      <c r="AE17" s="174"/>
      <c r="AF17" s="174">
        <f t="shared" si="5"/>
        <v>0</v>
      </c>
      <c r="AG17" s="174"/>
      <c r="AH17" s="174">
        <f t="shared" si="6"/>
        <v>0</v>
      </c>
      <c r="AI17" s="174"/>
      <c r="AJ17" s="174">
        <f t="shared" si="7"/>
        <v>0</v>
      </c>
      <c r="AK17" s="174"/>
      <c r="AL17" s="174">
        <f t="shared" si="8"/>
        <v>0</v>
      </c>
      <c r="AM17" s="174"/>
      <c r="AN17" s="174">
        <f t="shared" si="9"/>
        <v>0</v>
      </c>
      <c r="AO17" s="174"/>
      <c r="AP17" s="174">
        <f t="shared" si="10"/>
        <v>0</v>
      </c>
      <c r="AQ17" s="174"/>
      <c r="AR17" s="174">
        <f t="shared" si="11"/>
        <v>0</v>
      </c>
      <c r="AS17" s="174"/>
      <c r="AT17" s="174">
        <f t="shared" si="12"/>
        <v>0</v>
      </c>
      <c r="AU17" s="174"/>
      <c r="AV17" s="174">
        <f t="shared" si="13"/>
        <v>0</v>
      </c>
      <c r="AW17" s="174"/>
      <c r="AX17" s="174">
        <f t="shared" si="14"/>
        <v>0</v>
      </c>
      <c r="AY17" s="174"/>
      <c r="AZ17" s="174">
        <f t="shared" si="15"/>
        <v>0</v>
      </c>
    </row>
    <row r="18" spans="2:53" x14ac:dyDescent="0.35">
      <c r="B18" s="168">
        <f t="shared" si="24"/>
        <v>8</v>
      </c>
      <c r="C18" s="169"/>
      <c r="D18" s="170">
        <v>1</v>
      </c>
      <c r="E18" s="171"/>
      <c r="F18" s="168" t="str">
        <f t="shared" si="21"/>
        <v>x</v>
      </c>
      <c r="G18" s="169"/>
      <c r="H18" s="169" t="s">
        <v>45</v>
      </c>
      <c r="I18" s="169"/>
      <c r="J18" s="168">
        <v>1</v>
      </c>
      <c r="K18" s="169">
        <v>23</v>
      </c>
      <c r="L18" s="168">
        <f t="shared" si="22"/>
        <v>1</v>
      </c>
      <c r="M18" s="169"/>
      <c r="N18" s="241">
        <f t="shared" si="16"/>
        <v>-1999</v>
      </c>
      <c r="O18" s="237">
        <f t="shared" si="17"/>
        <v>2023</v>
      </c>
      <c r="P18" s="234">
        <f t="shared" si="18"/>
        <v>24</v>
      </c>
      <c r="Q18" s="169"/>
      <c r="R18" s="172">
        <f t="shared" si="23"/>
        <v>1</v>
      </c>
      <c r="S18" s="173"/>
      <c r="T18" s="174">
        <f t="shared" si="19"/>
        <v>1</v>
      </c>
      <c r="U18" s="174"/>
      <c r="V18" s="175">
        <f t="shared" si="1"/>
        <v>0</v>
      </c>
      <c r="W18" s="171"/>
      <c r="X18" s="174">
        <f t="shared" si="20"/>
        <v>0</v>
      </c>
      <c r="Y18" s="174"/>
      <c r="Z18" s="174">
        <f t="shared" si="2"/>
        <v>0</v>
      </c>
      <c r="AA18" s="174"/>
      <c r="AB18" s="174">
        <f t="shared" si="3"/>
        <v>0</v>
      </c>
      <c r="AC18" s="174"/>
      <c r="AD18" s="174">
        <f t="shared" si="4"/>
        <v>0</v>
      </c>
      <c r="AE18" s="174"/>
      <c r="AF18" s="174">
        <f t="shared" si="5"/>
        <v>0</v>
      </c>
      <c r="AG18" s="174"/>
      <c r="AH18" s="174">
        <f t="shared" si="6"/>
        <v>0</v>
      </c>
      <c r="AI18" s="174"/>
      <c r="AJ18" s="174">
        <f t="shared" si="7"/>
        <v>0</v>
      </c>
      <c r="AK18" s="174"/>
      <c r="AL18" s="174">
        <f t="shared" si="8"/>
        <v>0</v>
      </c>
      <c r="AM18" s="174"/>
      <c r="AN18" s="174">
        <f t="shared" si="9"/>
        <v>0</v>
      </c>
      <c r="AO18" s="174"/>
      <c r="AP18" s="174">
        <f t="shared" si="10"/>
        <v>0</v>
      </c>
      <c r="AQ18" s="174"/>
      <c r="AR18" s="174">
        <f t="shared" si="11"/>
        <v>0</v>
      </c>
      <c r="AS18" s="174"/>
      <c r="AT18" s="174">
        <f t="shared" si="12"/>
        <v>0</v>
      </c>
      <c r="AU18" s="174"/>
      <c r="AV18" s="174">
        <f t="shared" si="13"/>
        <v>0</v>
      </c>
      <c r="AW18" s="174"/>
      <c r="AX18" s="174">
        <f t="shared" si="14"/>
        <v>0</v>
      </c>
      <c r="AY18" s="174"/>
      <c r="AZ18" s="174">
        <f t="shared" si="15"/>
        <v>0</v>
      </c>
    </row>
    <row r="19" spans="2:53" x14ac:dyDescent="0.35">
      <c r="B19" s="168">
        <f t="shared" si="24"/>
        <v>9</v>
      </c>
      <c r="C19" s="169"/>
      <c r="D19" s="170">
        <v>1</v>
      </c>
      <c r="E19" s="171"/>
      <c r="F19" s="168" t="str">
        <f t="shared" si="21"/>
        <v>x</v>
      </c>
      <c r="G19" s="169"/>
      <c r="H19" s="169" t="s">
        <v>45</v>
      </c>
      <c r="I19" s="169"/>
      <c r="J19" s="168">
        <v>1</v>
      </c>
      <c r="K19" s="169">
        <v>23</v>
      </c>
      <c r="L19" s="168">
        <f t="shared" si="22"/>
        <v>1</v>
      </c>
      <c r="M19" s="169"/>
      <c r="N19" s="241">
        <f t="shared" si="16"/>
        <v>-1999</v>
      </c>
      <c r="O19" s="237">
        <f t="shared" si="17"/>
        <v>2023</v>
      </c>
      <c r="P19" s="234">
        <f t="shared" si="18"/>
        <v>24</v>
      </c>
      <c r="Q19" s="169"/>
      <c r="R19" s="172">
        <f t="shared" si="23"/>
        <v>1</v>
      </c>
      <c r="S19" s="173"/>
      <c r="T19" s="174">
        <f t="shared" si="19"/>
        <v>1</v>
      </c>
      <c r="U19" s="174"/>
      <c r="V19" s="175">
        <f t="shared" si="1"/>
        <v>0</v>
      </c>
      <c r="W19" s="171"/>
      <c r="X19" s="174">
        <f t="shared" si="20"/>
        <v>0</v>
      </c>
      <c r="Y19" s="174"/>
      <c r="Z19" s="174">
        <f t="shared" si="2"/>
        <v>0</v>
      </c>
      <c r="AA19" s="174"/>
      <c r="AB19" s="174">
        <f t="shared" si="3"/>
        <v>0</v>
      </c>
      <c r="AC19" s="174"/>
      <c r="AD19" s="174">
        <f t="shared" si="4"/>
        <v>0</v>
      </c>
      <c r="AE19" s="174"/>
      <c r="AF19" s="174">
        <f t="shared" si="5"/>
        <v>0</v>
      </c>
      <c r="AG19" s="174"/>
      <c r="AH19" s="174">
        <f t="shared" si="6"/>
        <v>0</v>
      </c>
      <c r="AI19" s="174"/>
      <c r="AJ19" s="174">
        <f t="shared" si="7"/>
        <v>0</v>
      </c>
      <c r="AK19" s="174"/>
      <c r="AL19" s="174">
        <f t="shared" si="8"/>
        <v>0</v>
      </c>
      <c r="AM19" s="174"/>
      <c r="AN19" s="174">
        <f t="shared" si="9"/>
        <v>0</v>
      </c>
      <c r="AO19" s="174"/>
      <c r="AP19" s="174">
        <f t="shared" si="10"/>
        <v>0</v>
      </c>
      <c r="AQ19" s="174"/>
      <c r="AR19" s="174">
        <f t="shared" si="11"/>
        <v>0</v>
      </c>
      <c r="AS19" s="174"/>
      <c r="AT19" s="174">
        <f t="shared" si="12"/>
        <v>0</v>
      </c>
      <c r="AU19" s="174"/>
      <c r="AV19" s="174">
        <f t="shared" si="13"/>
        <v>0</v>
      </c>
      <c r="AW19" s="174"/>
      <c r="AX19" s="174">
        <f t="shared" si="14"/>
        <v>0</v>
      </c>
      <c r="AY19" s="174"/>
      <c r="AZ19" s="174">
        <f t="shared" si="15"/>
        <v>0</v>
      </c>
    </row>
    <row r="20" spans="2:53" s="181" customFormat="1" x14ac:dyDescent="0.35">
      <c r="B20" s="180">
        <f t="shared" si="24"/>
        <v>10</v>
      </c>
      <c r="D20" s="182">
        <v>1</v>
      </c>
      <c r="E20" s="183"/>
      <c r="F20" s="135" t="str">
        <f t="shared" si="21"/>
        <v>x</v>
      </c>
      <c r="H20" s="181" t="s">
        <v>45</v>
      </c>
      <c r="J20" s="180">
        <v>1</v>
      </c>
      <c r="K20" s="136">
        <v>23</v>
      </c>
      <c r="L20" s="135">
        <f t="shared" si="22"/>
        <v>1</v>
      </c>
      <c r="M20" s="136"/>
      <c r="N20" s="279">
        <f t="shared" si="16"/>
        <v>-1999</v>
      </c>
      <c r="O20" s="238">
        <f t="shared" si="17"/>
        <v>2023</v>
      </c>
      <c r="P20" s="280">
        <f t="shared" si="18"/>
        <v>24</v>
      </c>
      <c r="Q20" s="136"/>
      <c r="R20" s="176">
        <f t="shared" si="23"/>
        <v>1</v>
      </c>
      <c r="S20" s="184"/>
      <c r="T20" s="185">
        <f t="shared" si="19"/>
        <v>1</v>
      </c>
      <c r="U20" s="185"/>
      <c r="V20" s="186">
        <f t="shared" si="1"/>
        <v>0</v>
      </c>
      <c r="W20" s="183"/>
      <c r="X20" s="185">
        <f t="shared" si="20"/>
        <v>0</v>
      </c>
      <c r="Y20" s="185"/>
      <c r="Z20" s="185">
        <f t="shared" si="2"/>
        <v>0</v>
      </c>
      <c r="AA20" s="185"/>
      <c r="AB20" s="185">
        <f t="shared" si="3"/>
        <v>0</v>
      </c>
      <c r="AC20" s="185"/>
      <c r="AD20" s="185">
        <f t="shared" si="4"/>
        <v>0</v>
      </c>
      <c r="AE20" s="185"/>
      <c r="AF20" s="185">
        <f t="shared" si="5"/>
        <v>0</v>
      </c>
      <c r="AG20" s="185"/>
      <c r="AH20" s="185">
        <f t="shared" si="6"/>
        <v>0</v>
      </c>
      <c r="AI20" s="185"/>
      <c r="AJ20" s="185">
        <f t="shared" si="7"/>
        <v>0</v>
      </c>
      <c r="AK20" s="185"/>
      <c r="AL20" s="185">
        <f t="shared" si="8"/>
        <v>0</v>
      </c>
      <c r="AM20" s="185"/>
      <c r="AN20" s="185">
        <f t="shared" si="9"/>
        <v>0</v>
      </c>
      <c r="AO20" s="185"/>
      <c r="AP20" s="185">
        <f t="shared" si="10"/>
        <v>0</v>
      </c>
      <c r="AQ20" s="185"/>
      <c r="AR20" s="185">
        <f t="shared" si="11"/>
        <v>0</v>
      </c>
      <c r="AS20" s="185"/>
      <c r="AT20" s="185">
        <f t="shared" si="12"/>
        <v>0</v>
      </c>
      <c r="AU20" s="185"/>
      <c r="AV20" s="185">
        <f t="shared" si="13"/>
        <v>0</v>
      </c>
      <c r="AW20" s="185"/>
      <c r="AX20" s="185">
        <f t="shared" si="14"/>
        <v>0</v>
      </c>
      <c r="AY20" s="185"/>
      <c r="AZ20" s="185">
        <f t="shared" si="15"/>
        <v>0</v>
      </c>
    </row>
    <row r="21" spans="2:53" s="181" customFormat="1" x14ac:dyDescent="0.35">
      <c r="B21" s="180">
        <f t="shared" si="24"/>
        <v>11</v>
      </c>
      <c r="D21" s="182">
        <v>1</v>
      </c>
      <c r="E21" s="183"/>
      <c r="F21" s="135" t="str">
        <f t="shared" si="21"/>
        <v>x</v>
      </c>
      <c r="H21" s="181" t="s">
        <v>45</v>
      </c>
      <c r="J21" s="180">
        <v>1</v>
      </c>
      <c r="K21" s="136">
        <v>23</v>
      </c>
      <c r="L21" s="135">
        <f t="shared" si="22"/>
        <v>1</v>
      </c>
      <c r="M21" s="136"/>
      <c r="N21" s="279">
        <f t="shared" si="16"/>
        <v>-1999</v>
      </c>
      <c r="O21" s="238">
        <f t="shared" si="17"/>
        <v>2023</v>
      </c>
      <c r="P21" s="280">
        <f t="shared" si="18"/>
        <v>24</v>
      </c>
      <c r="Q21" s="136"/>
      <c r="R21" s="176">
        <f t="shared" si="23"/>
        <v>1</v>
      </c>
      <c r="S21" s="184"/>
      <c r="T21" s="185">
        <f t="shared" si="19"/>
        <v>1</v>
      </c>
      <c r="U21" s="185"/>
      <c r="V21" s="186">
        <f t="shared" si="1"/>
        <v>0</v>
      </c>
      <c r="W21" s="183"/>
      <c r="X21" s="185">
        <f t="shared" si="20"/>
        <v>0</v>
      </c>
      <c r="Y21" s="185"/>
      <c r="Z21" s="185">
        <f t="shared" si="2"/>
        <v>0</v>
      </c>
      <c r="AA21" s="185"/>
      <c r="AB21" s="185">
        <f t="shared" si="3"/>
        <v>0</v>
      </c>
      <c r="AC21" s="185"/>
      <c r="AD21" s="185">
        <f t="shared" si="4"/>
        <v>0</v>
      </c>
      <c r="AE21" s="185"/>
      <c r="AF21" s="185">
        <f t="shared" si="5"/>
        <v>0</v>
      </c>
      <c r="AG21" s="185"/>
      <c r="AH21" s="185">
        <f t="shared" si="6"/>
        <v>0</v>
      </c>
      <c r="AI21" s="185"/>
      <c r="AJ21" s="185">
        <f t="shared" si="7"/>
        <v>0</v>
      </c>
      <c r="AK21" s="185"/>
      <c r="AL21" s="185">
        <f t="shared" si="8"/>
        <v>0</v>
      </c>
      <c r="AM21" s="185"/>
      <c r="AN21" s="185">
        <f t="shared" si="9"/>
        <v>0</v>
      </c>
      <c r="AO21" s="185"/>
      <c r="AP21" s="185">
        <f t="shared" si="10"/>
        <v>0</v>
      </c>
      <c r="AQ21" s="185"/>
      <c r="AR21" s="185">
        <f t="shared" si="11"/>
        <v>0</v>
      </c>
      <c r="AS21" s="185"/>
      <c r="AT21" s="185">
        <f t="shared" si="12"/>
        <v>0</v>
      </c>
      <c r="AU21" s="185"/>
      <c r="AV21" s="185">
        <f t="shared" si="13"/>
        <v>0</v>
      </c>
      <c r="AW21" s="185"/>
      <c r="AX21" s="185">
        <f t="shared" si="14"/>
        <v>0</v>
      </c>
      <c r="AY21" s="185"/>
      <c r="AZ21" s="185">
        <f t="shared" si="15"/>
        <v>0</v>
      </c>
    </row>
    <row r="22" spans="2:53" s="181" customFormat="1" x14ac:dyDescent="0.35">
      <c r="B22" s="180">
        <f t="shared" si="24"/>
        <v>12</v>
      </c>
      <c r="D22" s="182">
        <v>1</v>
      </c>
      <c r="E22" s="183"/>
      <c r="F22" s="135" t="str">
        <f t="shared" si="21"/>
        <v>x</v>
      </c>
      <c r="H22" s="181" t="s">
        <v>45</v>
      </c>
      <c r="J22" s="180">
        <v>1</v>
      </c>
      <c r="K22" s="136">
        <v>23</v>
      </c>
      <c r="L22" s="135">
        <f t="shared" si="22"/>
        <v>1</v>
      </c>
      <c r="M22" s="136"/>
      <c r="N22" s="279">
        <f t="shared" si="16"/>
        <v>-1999</v>
      </c>
      <c r="O22" s="238">
        <f t="shared" si="17"/>
        <v>2023</v>
      </c>
      <c r="P22" s="280">
        <f t="shared" si="18"/>
        <v>24</v>
      </c>
      <c r="Q22" s="136"/>
      <c r="R22" s="176">
        <f t="shared" si="23"/>
        <v>1</v>
      </c>
      <c r="S22" s="184"/>
      <c r="T22" s="185">
        <f t="shared" si="19"/>
        <v>1</v>
      </c>
      <c r="U22" s="185"/>
      <c r="V22" s="186">
        <f t="shared" si="1"/>
        <v>0</v>
      </c>
      <c r="W22" s="183"/>
      <c r="X22" s="185">
        <f t="shared" si="20"/>
        <v>0</v>
      </c>
      <c r="Y22" s="185"/>
      <c r="Z22" s="185">
        <f t="shared" si="2"/>
        <v>0</v>
      </c>
      <c r="AA22" s="185"/>
      <c r="AB22" s="185">
        <f t="shared" si="3"/>
        <v>0</v>
      </c>
      <c r="AC22" s="185"/>
      <c r="AD22" s="185">
        <f t="shared" si="4"/>
        <v>0</v>
      </c>
      <c r="AE22" s="185"/>
      <c r="AF22" s="185">
        <f t="shared" si="5"/>
        <v>0</v>
      </c>
      <c r="AG22" s="185"/>
      <c r="AH22" s="185">
        <f t="shared" si="6"/>
        <v>0</v>
      </c>
      <c r="AI22" s="185"/>
      <c r="AJ22" s="185">
        <f t="shared" si="7"/>
        <v>0</v>
      </c>
      <c r="AK22" s="185"/>
      <c r="AL22" s="185">
        <f t="shared" si="8"/>
        <v>0</v>
      </c>
      <c r="AM22" s="185"/>
      <c r="AN22" s="185">
        <f t="shared" si="9"/>
        <v>0</v>
      </c>
      <c r="AO22" s="185"/>
      <c r="AP22" s="185">
        <f t="shared" si="10"/>
        <v>0</v>
      </c>
      <c r="AQ22" s="185"/>
      <c r="AR22" s="185">
        <f t="shared" si="11"/>
        <v>0</v>
      </c>
      <c r="AS22" s="185"/>
      <c r="AT22" s="185">
        <f t="shared" si="12"/>
        <v>0</v>
      </c>
      <c r="AU22" s="185"/>
      <c r="AV22" s="185">
        <f t="shared" si="13"/>
        <v>0</v>
      </c>
      <c r="AW22" s="185"/>
      <c r="AX22" s="185">
        <f t="shared" si="14"/>
        <v>0</v>
      </c>
      <c r="AY22" s="185"/>
      <c r="AZ22" s="185">
        <f t="shared" si="15"/>
        <v>0</v>
      </c>
    </row>
    <row r="23" spans="2:53" s="181" customFormat="1" x14ac:dyDescent="0.35">
      <c r="B23" s="168">
        <f t="shared" si="24"/>
        <v>13</v>
      </c>
      <c r="C23" s="169"/>
      <c r="D23" s="170">
        <v>1</v>
      </c>
      <c r="E23" s="171"/>
      <c r="F23" s="168" t="str">
        <f t="shared" si="21"/>
        <v>x</v>
      </c>
      <c r="G23" s="169"/>
      <c r="H23" s="169" t="s">
        <v>45</v>
      </c>
      <c r="I23" s="169"/>
      <c r="J23" s="168">
        <v>1</v>
      </c>
      <c r="K23" s="169">
        <v>23</v>
      </c>
      <c r="L23" s="168">
        <f t="shared" si="22"/>
        <v>1</v>
      </c>
      <c r="M23" s="169"/>
      <c r="N23" s="241">
        <f t="shared" si="16"/>
        <v>-1999</v>
      </c>
      <c r="O23" s="237">
        <f t="shared" ref="O23:O50" si="25">O22</f>
        <v>2023</v>
      </c>
      <c r="P23" s="234">
        <f t="shared" si="18"/>
        <v>24</v>
      </c>
      <c r="Q23" s="169"/>
      <c r="R23" s="172">
        <f t="shared" si="23"/>
        <v>1</v>
      </c>
      <c r="S23" s="173"/>
      <c r="T23" s="174">
        <f t="shared" si="19"/>
        <v>1</v>
      </c>
      <c r="U23" s="174"/>
      <c r="V23" s="175">
        <f t="shared" si="1"/>
        <v>0</v>
      </c>
      <c r="W23" s="171"/>
      <c r="X23" s="174">
        <f t="shared" si="20"/>
        <v>0</v>
      </c>
      <c r="Y23" s="174"/>
      <c r="Z23" s="174">
        <f t="shared" si="2"/>
        <v>0</v>
      </c>
      <c r="AA23" s="174"/>
      <c r="AB23" s="174">
        <f t="shared" si="3"/>
        <v>0</v>
      </c>
      <c r="AC23" s="174"/>
      <c r="AD23" s="174">
        <f t="shared" si="4"/>
        <v>0</v>
      </c>
      <c r="AE23" s="174"/>
      <c r="AF23" s="174">
        <f t="shared" si="5"/>
        <v>0</v>
      </c>
      <c r="AG23" s="174"/>
      <c r="AH23" s="174">
        <f t="shared" si="6"/>
        <v>0</v>
      </c>
      <c r="AI23" s="174"/>
      <c r="AJ23" s="174">
        <f t="shared" si="7"/>
        <v>0</v>
      </c>
      <c r="AK23" s="174"/>
      <c r="AL23" s="174">
        <f t="shared" si="8"/>
        <v>0</v>
      </c>
      <c r="AM23" s="174"/>
      <c r="AN23" s="174">
        <f t="shared" si="9"/>
        <v>0</v>
      </c>
      <c r="AO23" s="174"/>
      <c r="AP23" s="174">
        <f t="shared" si="10"/>
        <v>0</v>
      </c>
      <c r="AQ23" s="174"/>
      <c r="AR23" s="174">
        <f t="shared" si="11"/>
        <v>0</v>
      </c>
      <c r="AS23" s="174"/>
      <c r="AT23" s="174">
        <f t="shared" si="12"/>
        <v>0</v>
      </c>
      <c r="AU23" s="174"/>
      <c r="AV23" s="174">
        <f t="shared" si="13"/>
        <v>0</v>
      </c>
      <c r="AW23" s="174"/>
      <c r="AX23" s="174">
        <f t="shared" si="14"/>
        <v>0</v>
      </c>
      <c r="AY23" s="174"/>
      <c r="AZ23" s="174">
        <f t="shared" si="15"/>
        <v>0</v>
      </c>
    </row>
    <row r="24" spans="2:53" s="181" customFormat="1" x14ac:dyDescent="0.35">
      <c r="B24" s="168">
        <f t="shared" si="24"/>
        <v>14</v>
      </c>
      <c r="C24" s="169"/>
      <c r="D24" s="170">
        <v>1</v>
      </c>
      <c r="E24" s="171"/>
      <c r="F24" s="168" t="str">
        <f t="shared" si="21"/>
        <v>x</v>
      </c>
      <c r="G24" s="169"/>
      <c r="H24" s="169" t="s">
        <v>45</v>
      </c>
      <c r="I24" s="169"/>
      <c r="J24" s="168">
        <v>1</v>
      </c>
      <c r="K24" s="169">
        <v>23</v>
      </c>
      <c r="L24" s="168">
        <f t="shared" si="22"/>
        <v>1</v>
      </c>
      <c r="M24" s="169"/>
      <c r="N24" s="241">
        <f t="shared" si="16"/>
        <v>-1999</v>
      </c>
      <c r="O24" s="237">
        <f t="shared" si="25"/>
        <v>2023</v>
      </c>
      <c r="P24" s="234">
        <f t="shared" si="18"/>
        <v>24</v>
      </c>
      <c r="Q24" s="169"/>
      <c r="R24" s="172">
        <f t="shared" si="23"/>
        <v>1</v>
      </c>
      <c r="S24" s="173"/>
      <c r="T24" s="174">
        <f t="shared" si="19"/>
        <v>1</v>
      </c>
      <c r="U24" s="174"/>
      <c r="V24" s="175">
        <f t="shared" si="1"/>
        <v>0</v>
      </c>
      <c r="W24" s="171"/>
      <c r="X24" s="174">
        <f t="shared" si="20"/>
        <v>0</v>
      </c>
      <c r="Y24" s="174"/>
      <c r="Z24" s="174">
        <f t="shared" si="2"/>
        <v>0</v>
      </c>
      <c r="AA24" s="174"/>
      <c r="AB24" s="174">
        <f t="shared" si="3"/>
        <v>0</v>
      </c>
      <c r="AC24" s="174"/>
      <c r="AD24" s="174">
        <f t="shared" si="4"/>
        <v>0</v>
      </c>
      <c r="AE24" s="174"/>
      <c r="AF24" s="174">
        <f t="shared" si="5"/>
        <v>0</v>
      </c>
      <c r="AG24" s="174"/>
      <c r="AH24" s="174">
        <f t="shared" si="6"/>
        <v>0</v>
      </c>
      <c r="AI24" s="174"/>
      <c r="AJ24" s="174">
        <f t="shared" si="7"/>
        <v>0</v>
      </c>
      <c r="AK24" s="174"/>
      <c r="AL24" s="174">
        <f t="shared" si="8"/>
        <v>0</v>
      </c>
      <c r="AM24" s="174"/>
      <c r="AN24" s="174">
        <f t="shared" si="9"/>
        <v>0</v>
      </c>
      <c r="AO24" s="174"/>
      <c r="AP24" s="174">
        <f t="shared" si="10"/>
        <v>0</v>
      </c>
      <c r="AQ24" s="174"/>
      <c r="AR24" s="174">
        <f t="shared" si="11"/>
        <v>0</v>
      </c>
      <c r="AS24" s="174"/>
      <c r="AT24" s="174">
        <f t="shared" si="12"/>
        <v>0</v>
      </c>
      <c r="AU24" s="174"/>
      <c r="AV24" s="174">
        <f t="shared" si="13"/>
        <v>0</v>
      </c>
      <c r="AW24" s="174"/>
      <c r="AX24" s="174">
        <f t="shared" si="14"/>
        <v>0</v>
      </c>
      <c r="AY24" s="174"/>
      <c r="AZ24" s="174">
        <f t="shared" si="15"/>
        <v>0</v>
      </c>
    </row>
    <row r="25" spans="2:53" s="181" customFormat="1" x14ac:dyDescent="0.35">
      <c r="B25" s="168">
        <f t="shared" si="24"/>
        <v>15</v>
      </c>
      <c r="C25" s="169"/>
      <c r="D25" s="170">
        <v>1</v>
      </c>
      <c r="E25" s="171"/>
      <c r="F25" s="168" t="str">
        <f t="shared" si="21"/>
        <v>x</v>
      </c>
      <c r="G25" s="169"/>
      <c r="H25" s="169" t="s">
        <v>45</v>
      </c>
      <c r="I25" s="169"/>
      <c r="J25" s="168">
        <v>1</v>
      </c>
      <c r="K25" s="169">
        <v>23</v>
      </c>
      <c r="L25" s="168">
        <f t="shared" si="22"/>
        <v>1</v>
      </c>
      <c r="M25" s="169"/>
      <c r="N25" s="241">
        <f t="shared" si="16"/>
        <v>-1999</v>
      </c>
      <c r="O25" s="237">
        <f t="shared" si="25"/>
        <v>2023</v>
      </c>
      <c r="P25" s="234">
        <f t="shared" si="18"/>
        <v>24</v>
      </c>
      <c r="Q25" s="169"/>
      <c r="R25" s="172">
        <f t="shared" si="23"/>
        <v>1</v>
      </c>
      <c r="S25" s="173"/>
      <c r="T25" s="174">
        <f t="shared" ref="T25:T31" si="26">D25*R25</f>
        <v>1</v>
      </c>
      <c r="U25" s="174"/>
      <c r="V25" s="175">
        <f t="shared" si="1"/>
        <v>0</v>
      </c>
      <c r="W25" s="171"/>
      <c r="X25" s="174">
        <f t="shared" si="20"/>
        <v>0</v>
      </c>
      <c r="Y25" s="174"/>
      <c r="Z25" s="174">
        <f t="shared" si="2"/>
        <v>0</v>
      </c>
      <c r="AA25" s="174"/>
      <c r="AB25" s="174">
        <f t="shared" si="3"/>
        <v>0</v>
      </c>
      <c r="AC25" s="174"/>
      <c r="AD25" s="174">
        <f t="shared" si="4"/>
        <v>0</v>
      </c>
      <c r="AE25" s="174"/>
      <c r="AF25" s="174">
        <f t="shared" si="5"/>
        <v>0</v>
      </c>
      <c r="AG25" s="174"/>
      <c r="AH25" s="174">
        <f t="shared" si="6"/>
        <v>0</v>
      </c>
      <c r="AI25" s="174"/>
      <c r="AJ25" s="174">
        <f t="shared" si="7"/>
        <v>0</v>
      </c>
      <c r="AK25" s="174"/>
      <c r="AL25" s="174">
        <f t="shared" si="8"/>
        <v>0</v>
      </c>
      <c r="AM25" s="174"/>
      <c r="AN25" s="174">
        <f t="shared" si="9"/>
        <v>0</v>
      </c>
      <c r="AO25" s="174"/>
      <c r="AP25" s="174">
        <f t="shared" si="10"/>
        <v>0</v>
      </c>
      <c r="AQ25" s="174"/>
      <c r="AR25" s="174">
        <f t="shared" si="11"/>
        <v>0</v>
      </c>
      <c r="AS25" s="174"/>
      <c r="AT25" s="174">
        <f t="shared" si="12"/>
        <v>0</v>
      </c>
      <c r="AU25" s="174"/>
      <c r="AV25" s="174">
        <f t="shared" si="13"/>
        <v>0</v>
      </c>
      <c r="AW25" s="174"/>
      <c r="AX25" s="174">
        <f t="shared" si="14"/>
        <v>0</v>
      </c>
      <c r="AY25" s="174"/>
      <c r="AZ25" s="174">
        <f t="shared" si="15"/>
        <v>0</v>
      </c>
    </row>
    <row r="26" spans="2:53" x14ac:dyDescent="0.35">
      <c r="B26" s="135">
        <f t="shared" si="24"/>
        <v>16</v>
      </c>
      <c r="D26" s="137">
        <v>1</v>
      </c>
      <c r="F26" s="135" t="str">
        <f t="shared" si="21"/>
        <v>x</v>
      </c>
      <c r="H26" s="136" t="s">
        <v>45</v>
      </c>
      <c r="J26" s="180">
        <v>1</v>
      </c>
      <c r="K26" s="136">
        <v>23</v>
      </c>
      <c r="L26" s="135">
        <f t="shared" si="22"/>
        <v>1</v>
      </c>
      <c r="N26" s="279">
        <f t="shared" si="16"/>
        <v>-1999</v>
      </c>
      <c r="O26" s="238">
        <f t="shared" si="25"/>
        <v>2023</v>
      </c>
      <c r="P26" s="280">
        <f t="shared" si="18"/>
        <v>24</v>
      </c>
      <c r="R26" s="176">
        <f t="shared" si="23"/>
        <v>1</v>
      </c>
      <c r="S26" s="177"/>
      <c r="T26" s="178">
        <f t="shared" si="26"/>
        <v>1</v>
      </c>
      <c r="U26" s="178"/>
      <c r="V26" s="179">
        <f t="shared" si="1"/>
        <v>0</v>
      </c>
      <c r="W26" s="138"/>
      <c r="X26" s="178">
        <f t="shared" si="20"/>
        <v>0</v>
      </c>
      <c r="Y26" s="178"/>
      <c r="Z26" s="178">
        <f t="shared" si="2"/>
        <v>0</v>
      </c>
      <c r="AA26" s="178"/>
      <c r="AB26" s="178">
        <f t="shared" si="3"/>
        <v>0</v>
      </c>
      <c r="AC26" s="178"/>
      <c r="AD26" s="178">
        <f t="shared" si="4"/>
        <v>0</v>
      </c>
      <c r="AE26" s="178"/>
      <c r="AF26" s="178">
        <f t="shared" si="5"/>
        <v>0</v>
      </c>
      <c r="AG26" s="178"/>
      <c r="AH26" s="178">
        <f t="shared" si="6"/>
        <v>0</v>
      </c>
      <c r="AI26" s="178"/>
      <c r="AJ26" s="178">
        <f t="shared" si="7"/>
        <v>0</v>
      </c>
      <c r="AK26" s="178"/>
      <c r="AL26" s="178">
        <f t="shared" si="8"/>
        <v>0</v>
      </c>
      <c r="AM26" s="178"/>
      <c r="AN26" s="178">
        <f t="shared" si="9"/>
        <v>0</v>
      </c>
      <c r="AO26" s="178"/>
      <c r="AP26" s="178">
        <f t="shared" si="10"/>
        <v>0</v>
      </c>
      <c r="AQ26" s="178"/>
      <c r="AR26" s="178">
        <f t="shared" si="11"/>
        <v>0</v>
      </c>
      <c r="AS26" s="178"/>
      <c r="AT26" s="178">
        <f t="shared" si="12"/>
        <v>0</v>
      </c>
      <c r="AU26" s="178"/>
      <c r="AV26" s="178">
        <f t="shared" si="13"/>
        <v>0</v>
      </c>
      <c r="AW26" s="178"/>
      <c r="AX26" s="178">
        <f t="shared" si="14"/>
        <v>0</v>
      </c>
      <c r="AY26" s="178"/>
      <c r="AZ26" s="178">
        <f t="shared" si="15"/>
        <v>0</v>
      </c>
    </row>
    <row r="27" spans="2:53" x14ac:dyDescent="0.35">
      <c r="B27" s="135">
        <f t="shared" si="24"/>
        <v>17</v>
      </c>
      <c r="D27" s="137">
        <v>1</v>
      </c>
      <c r="F27" s="135" t="str">
        <f t="shared" si="21"/>
        <v>x</v>
      </c>
      <c r="H27" s="136" t="s">
        <v>45</v>
      </c>
      <c r="J27" s="180">
        <v>1</v>
      </c>
      <c r="K27" s="136">
        <v>23</v>
      </c>
      <c r="L27" s="135">
        <f t="shared" si="22"/>
        <v>1</v>
      </c>
      <c r="N27" s="279">
        <f t="shared" si="16"/>
        <v>-1999</v>
      </c>
      <c r="O27" s="238">
        <f t="shared" si="25"/>
        <v>2023</v>
      </c>
      <c r="P27" s="280">
        <f t="shared" si="18"/>
        <v>24</v>
      </c>
      <c r="R27" s="176">
        <f t="shared" si="23"/>
        <v>1</v>
      </c>
      <c r="S27" s="177"/>
      <c r="T27" s="178">
        <f t="shared" si="26"/>
        <v>1</v>
      </c>
      <c r="U27" s="178"/>
      <c r="V27" s="179">
        <f t="shared" si="1"/>
        <v>0</v>
      </c>
      <c r="W27" s="138"/>
      <c r="X27" s="178">
        <f t="shared" si="20"/>
        <v>0</v>
      </c>
      <c r="Y27" s="178"/>
      <c r="Z27" s="178">
        <f t="shared" si="2"/>
        <v>0</v>
      </c>
      <c r="AA27" s="178"/>
      <c r="AB27" s="178">
        <f t="shared" si="3"/>
        <v>0</v>
      </c>
      <c r="AC27" s="178"/>
      <c r="AD27" s="178">
        <f t="shared" si="4"/>
        <v>0</v>
      </c>
      <c r="AE27" s="178"/>
      <c r="AF27" s="178">
        <f t="shared" si="5"/>
        <v>0</v>
      </c>
      <c r="AG27" s="178"/>
      <c r="AH27" s="178">
        <f t="shared" si="6"/>
        <v>0</v>
      </c>
      <c r="AI27" s="178"/>
      <c r="AJ27" s="178">
        <f t="shared" si="7"/>
        <v>0</v>
      </c>
      <c r="AK27" s="178"/>
      <c r="AL27" s="178">
        <f t="shared" si="8"/>
        <v>0</v>
      </c>
      <c r="AM27" s="178"/>
      <c r="AN27" s="178">
        <f t="shared" si="9"/>
        <v>0</v>
      </c>
      <c r="AO27" s="178"/>
      <c r="AP27" s="178">
        <f t="shared" si="10"/>
        <v>0</v>
      </c>
      <c r="AQ27" s="178"/>
      <c r="AR27" s="178">
        <f t="shared" si="11"/>
        <v>0</v>
      </c>
      <c r="AS27" s="178"/>
      <c r="AT27" s="178">
        <f t="shared" si="12"/>
        <v>0</v>
      </c>
      <c r="AU27" s="178"/>
      <c r="AV27" s="178">
        <f t="shared" si="13"/>
        <v>0</v>
      </c>
      <c r="AW27" s="178"/>
      <c r="AX27" s="178">
        <f t="shared" si="14"/>
        <v>0</v>
      </c>
      <c r="AY27" s="178"/>
      <c r="AZ27" s="178">
        <f t="shared" si="15"/>
        <v>0</v>
      </c>
    </row>
    <row r="28" spans="2:53" x14ac:dyDescent="0.35">
      <c r="B28" s="135">
        <f t="shared" si="24"/>
        <v>18</v>
      </c>
      <c r="D28" s="137">
        <v>1</v>
      </c>
      <c r="F28" s="135" t="str">
        <f t="shared" si="21"/>
        <v>x</v>
      </c>
      <c r="H28" s="136" t="s">
        <v>45</v>
      </c>
      <c r="J28" s="180">
        <v>1</v>
      </c>
      <c r="K28" s="136">
        <v>23</v>
      </c>
      <c r="L28" s="135">
        <f t="shared" si="22"/>
        <v>1</v>
      </c>
      <c r="N28" s="279">
        <f t="shared" si="16"/>
        <v>-1999</v>
      </c>
      <c r="O28" s="238">
        <f t="shared" si="25"/>
        <v>2023</v>
      </c>
      <c r="P28" s="280">
        <f t="shared" si="18"/>
        <v>24</v>
      </c>
      <c r="R28" s="176">
        <f t="shared" si="23"/>
        <v>1</v>
      </c>
      <c r="S28" s="177"/>
      <c r="T28" s="178">
        <f t="shared" si="26"/>
        <v>1</v>
      </c>
      <c r="U28" s="178"/>
      <c r="V28" s="179">
        <f t="shared" si="1"/>
        <v>0</v>
      </c>
      <c r="W28" s="138"/>
      <c r="X28" s="178">
        <f t="shared" si="20"/>
        <v>0</v>
      </c>
      <c r="Y28" s="178"/>
      <c r="Z28" s="178">
        <f t="shared" si="2"/>
        <v>0</v>
      </c>
      <c r="AA28" s="178"/>
      <c r="AB28" s="178">
        <f t="shared" si="3"/>
        <v>0</v>
      </c>
      <c r="AC28" s="178"/>
      <c r="AD28" s="178">
        <f t="shared" si="4"/>
        <v>0</v>
      </c>
      <c r="AE28" s="178"/>
      <c r="AF28" s="178">
        <f t="shared" si="5"/>
        <v>0</v>
      </c>
      <c r="AG28" s="178"/>
      <c r="AH28" s="178">
        <f t="shared" si="6"/>
        <v>0</v>
      </c>
      <c r="AI28" s="178"/>
      <c r="AJ28" s="178">
        <f t="shared" si="7"/>
        <v>0</v>
      </c>
      <c r="AK28" s="178"/>
      <c r="AL28" s="178">
        <f t="shared" si="8"/>
        <v>0</v>
      </c>
      <c r="AM28" s="178"/>
      <c r="AN28" s="178">
        <f t="shared" si="9"/>
        <v>0</v>
      </c>
      <c r="AO28" s="178"/>
      <c r="AP28" s="178">
        <f t="shared" si="10"/>
        <v>0</v>
      </c>
      <c r="AQ28" s="178"/>
      <c r="AR28" s="178">
        <f t="shared" si="11"/>
        <v>0</v>
      </c>
      <c r="AS28" s="178"/>
      <c r="AT28" s="178">
        <f t="shared" si="12"/>
        <v>0</v>
      </c>
      <c r="AU28" s="178"/>
      <c r="AV28" s="178">
        <f t="shared" si="13"/>
        <v>0</v>
      </c>
      <c r="AW28" s="178"/>
      <c r="AX28" s="178">
        <f t="shared" si="14"/>
        <v>0</v>
      </c>
      <c r="AY28" s="178"/>
      <c r="AZ28" s="178">
        <f t="shared" si="15"/>
        <v>0</v>
      </c>
    </row>
    <row r="29" spans="2:53" s="181" customFormat="1" x14ac:dyDescent="0.35">
      <c r="B29" s="168">
        <f t="shared" si="24"/>
        <v>19</v>
      </c>
      <c r="C29" s="169"/>
      <c r="D29" s="170">
        <v>1</v>
      </c>
      <c r="E29" s="171"/>
      <c r="F29" s="168" t="str">
        <f t="shared" si="21"/>
        <v>x</v>
      </c>
      <c r="G29" s="169"/>
      <c r="H29" s="169" t="s">
        <v>45</v>
      </c>
      <c r="I29" s="169"/>
      <c r="J29" s="168">
        <v>1</v>
      </c>
      <c r="K29" s="169">
        <v>23</v>
      </c>
      <c r="L29" s="168">
        <f t="shared" si="22"/>
        <v>1</v>
      </c>
      <c r="M29" s="169"/>
      <c r="N29" s="241">
        <f t="shared" si="16"/>
        <v>-1999</v>
      </c>
      <c r="O29" s="237">
        <f t="shared" si="25"/>
        <v>2023</v>
      </c>
      <c r="P29" s="234">
        <f t="shared" si="18"/>
        <v>24</v>
      </c>
      <c r="Q29" s="169"/>
      <c r="R29" s="172">
        <f t="shared" si="23"/>
        <v>1</v>
      </c>
      <c r="S29" s="173"/>
      <c r="T29" s="174">
        <f t="shared" si="26"/>
        <v>1</v>
      </c>
      <c r="U29" s="174"/>
      <c r="V29" s="175">
        <f t="shared" si="1"/>
        <v>0</v>
      </c>
      <c r="W29" s="171"/>
      <c r="X29" s="174">
        <f t="shared" si="20"/>
        <v>0</v>
      </c>
      <c r="Y29" s="174"/>
      <c r="Z29" s="174">
        <f t="shared" si="2"/>
        <v>0</v>
      </c>
      <c r="AA29" s="174"/>
      <c r="AB29" s="174">
        <f t="shared" si="3"/>
        <v>0</v>
      </c>
      <c r="AC29" s="174"/>
      <c r="AD29" s="174">
        <f t="shared" si="4"/>
        <v>0</v>
      </c>
      <c r="AE29" s="174"/>
      <c r="AF29" s="174">
        <f t="shared" si="5"/>
        <v>0</v>
      </c>
      <c r="AG29" s="174"/>
      <c r="AH29" s="174">
        <f t="shared" si="6"/>
        <v>0</v>
      </c>
      <c r="AI29" s="174"/>
      <c r="AJ29" s="174">
        <f t="shared" si="7"/>
        <v>0</v>
      </c>
      <c r="AK29" s="174"/>
      <c r="AL29" s="174">
        <f t="shared" si="8"/>
        <v>0</v>
      </c>
      <c r="AM29" s="174"/>
      <c r="AN29" s="174">
        <f t="shared" si="9"/>
        <v>0</v>
      </c>
      <c r="AO29" s="174"/>
      <c r="AP29" s="174">
        <f t="shared" si="10"/>
        <v>0</v>
      </c>
      <c r="AQ29" s="174"/>
      <c r="AR29" s="174">
        <f t="shared" si="11"/>
        <v>0</v>
      </c>
      <c r="AS29" s="174"/>
      <c r="AT29" s="174">
        <f t="shared" si="12"/>
        <v>0</v>
      </c>
      <c r="AU29" s="174"/>
      <c r="AV29" s="174">
        <f t="shared" si="13"/>
        <v>0</v>
      </c>
      <c r="AW29" s="174"/>
      <c r="AX29" s="174">
        <f t="shared" si="14"/>
        <v>0</v>
      </c>
      <c r="AY29" s="174"/>
      <c r="AZ29" s="174">
        <f t="shared" si="15"/>
        <v>0</v>
      </c>
    </row>
    <row r="30" spans="2:53" s="181" customFormat="1" x14ac:dyDescent="0.35">
      <c r="B30" s="168">
        <f t="shared" si="24"/>
        <v>20</v>
      </c>
      <c r="C30" s="169"/>
      <c r="D30" s="170">
        <v>1</v>
      </c>
      <c r="E30" s="171"/>
      <c r="F30" s="168" t="str">
        <f t="shared" si="21"/>
        <v>x</v>
      </c>
      <c r="G30" s="169"/>
      <c r="H30" s="169" t="s">
        <v>45</v>
      </c>
      <c r="I30" s="169"/>
      <c r="J30" s="168">
        <v>1</v>
      </c>
      <c r="K30" s="169">
        <v>23</v>
      </c>
      <c r="L30" s="168">
        <f t="shared" si="22"/>
        <v>1</v>
      </c>
      <c r="M30" s="169"/>
      <c r="N30" s="241">
        <f t="shared" si="16"/>
        <v>-1999</v>
      </c>
      <c r="O30" s="237">
        <f t="shared" si="25"/>
        <v>2023</v>
      </c>
      <c r="P30" s="234">
        <f t="shared" si="18"/>
        <v>24</v>
      </c>
      <c r="Q30" s="169"/>
      <c r="R30" s="172">
        <f t="shared" si="23"/>
        <v>1</v>
      </c>
      <c r="S30" s="173"/>
      <c r="T30" s="174">
        <f t="shared" si="26"/>
        <v>1</v>
      </c>
      <c r="U30" s="174"/>
      <c r="V30" s="175">
        <f t="shared" si="1"/>
        <v>0</v>
      </c>
      <c r="W30" s="171"/>
      <c r="X30" s="174">
        <f t="shared" si="20"/>
        <v>0</v>
      </c>
      <c r="Y30" s="174"/>
      <c r="Z30" s="174">
        <f t="shared" si="2"/>
        <v>0</v>
      </c>
      <c r="AA30" s="174"/>
      <c r="AB30" s="174">
        <f t="shared" si="3"/>
        <v>0</v>
      </c>
      <c r="AC30" s="174"/>
      <c r="AD30" s="174">
        <f t="shared" si="4"/>
        <v>0</v>
      </c>
      <c r="AE30" s="174"/>
      <c r="AF30" s="174">
        <f t="shared" si="5"/>
        <v>0</v>
      </c>
      <c r="AG30" s="174"/>
      <c r="AH30" s="174">
        <f t="shared" si="6"/>
        <v>0</v>
      </c>
      <c r="AI30" s="174"/>
      <c r="AJ30" s="174">
        <f t="shared" si="7"/>
        <v>0</v>
      </c>
      <c r="AK30" s="174"/>
      <c r="AL30" s="174">
        <f t="shared" si="8"/>
        <v>0</v>
      </c>
      <c r="AM30" s="174"/>
      <c r="AN30" s="174">
        <f t="shared" si="9"/>
        <v>0</v>
      </c>
      <c r="AO30" s="174"/>
      <c r="AP30" s="174">
        <f t="shared" si="10"/>
        <v>0</v>
      </c>
      <c r="AQ30" s="174"/>
      <c r="AR30" s="174">
        <f t="shared" si="11"/>
        <v>0</v>
      </c>
      <c r="AS30" s="174"/>
      <c r="AT30" s="174">
        <f t="shared" si="12"/>
        <v>0</v>
      </c>
      <c r="AU30" s="174"/>
      <c r="AV30" s="174">
        <f t="shared" si="13"/>
        <v>0</v>
      </c>
      <c r="AW30" s="174"/>
      <c r="AX30" s="174">
        <f t="shared" si="14"/>
        <v>0</v>
      </c>
      <c r="AY30" s="174"/>
      <c r="AZ30" s="174">
        <f t="shared" si="15"/>
        <v>0</v>
      </c>
    </row>
    <row r="31" spans="2:53" s="181" customFormat="1" x14ac:dyDescent="0.35">
      <c r="B31" s="168">
        <f t="shared" si="24"/>
        <v>21</v>
      </c>
      <c r="C31" s="169"/>
      <c r="D31" s="170">
        <v>1</v>
      </c>
      <c r="E31" s="171"/>
      <c r="F31" s="168" t="str">
        <f t="shared" si="21"/>
        <v>x</v>
      </c>
      <c r="G31" s="169"/>
      <c r="H31" s="169" t="s">
        <v>45</v>
      </c>
      <c r="I31" s="169"/>
      <c r="J31" s="168">
        <v>1</v>
      </c>
      <c r="K31" s="169">
        <v>23</v>
      </c>
      <c r="L31" s="168">
        <f t="shared" si="22"/>
        <v>1</v>
      </c>
      <c r="M31" s="169"/>
      <c r="N31" s="241">
        <f t="shared" si="16"/>
        <v>-1999</v>
      </c>
      <c r="O31" s="237">
        <f t="shared" si="25"/>
        <v>2023</v>
      </c>
      <c r="P31" s="234">
        <f t="shared" si="18"/>
        <v>24</v>
      </c>
      <c r="Q31" s="169"/>
      <c r="R31" s="172">
        <f t="shared" si="23"/>
        <v>1</v>
      </c>
      <c r="S31" s="173"/>
      <c r="T31" s="174">
        <f t="shared" si="26"/>
        <v>1</v>
      </c>
      <c r="U31" s="174"/>
      <c r="V31" s="175">
        <f t="shared" si="1"/>
        <v>0</v>
      </c>
      <c r="W31" s="171"/>
      <c r="X31" s="174">
        <f t="shared" si="20"/>
        <v>0</v>
      </c>
      <c r="Y31" s="174"/>
      <c r="Z31" s="174">
        <f t="shared" si="2"/>
        <v>0</v>
      </c>
      <c r="AA31" s="174"/>
      <c r="AB31" s="174">
        <f t="shared" si="3"/>
        <v>0</v>
      </c>
      <c r="AC31" s="174"/>
      <c r="AD31" s="174">
        <f t="shared" si="4"/>
        <v>0</v>
      </c>
      <c r="AE31" s="174"/>
      <c r="AF31" s="174">
        <f t="shared" si="5"/>
        <v>0</v>
      </c>
      <c r="AG31" s="174"/>
      <c r="AH31" s="174">
        <f t="shared" si="6"/>
        <v>0</v>
      </c>
      <c r="AI31" s="174"/>
      <c r="AJ31" s="174">
        <f t="shared" si="7"/>
        <v>0</v>
      </c>
      <c r="AK31" s="174"/>
      <c r="AL31" s="174">
        <f t="shared" si="8"/>
        <v>0</v>
      </c>
      <c r="AM31" s="174"/>
      <c r="AN31" s="174">
        <f t="shared" si="9"/>
        <v>0</v>
      </c>
      <c r="AO31" s="174"/>
      <c r="AP31" s="174">
        <f t="shared" si="10"/>
        <v>0</v>
      </c>
      <c r="AQ31" s="174"/>
      <c r="AR31" s="174">
        <f t="shared" si="11"/>
        <v>0</v>
      </c>
      <c r="AS31" s="174"/>
      <c r="AT31" s="174">
        <f t="shared" si="12"/>
        <v>0</v>
      </c>
      <c r="AU31" s="174"/>
      <c r="AV31" s="174">
        <f t="shared" si="13"/>
        <v>0</v>
      </c>
      <c r="AW31" s="174"/>
      <c r="AX31" s="174">
        <f t="shared" si="14"/>
        <v>0</v>
      </c>
      <c r="AY31" s="174"/>
      <c r="AZ31" s="174">
        <f t="shared" si="15"/>
        <v>0</v>
      </c>
    </row>
    <row r="32" spans="2:53" s="151" customFormat="1" x14ac:dyDescent="0.35">
      <c r="B32" s="180">
        <f t="shared" si="24"/>
        <v>22</v>
      </c>
      <c r="C32" s="136"/>
      <c r="D32" s="137">
        <v>1</v>
      </c>
      <c r="E32" s="138"/>
      <c r="F32" s="135" t="str">
        <f t="shared" si="21"/>
        <v>x</v>
      </c>
      <c r="G32" s="136"/>
      <c r="H32" s="151" t="s">
        <v>45</v>
      </c>
      <c r="I32" s="136"/>
      <c r="J32" s="135">
        <v>1</v>
      </c>
      <c r="K32" s="136">
        <v>23</v>
      </c>
      <c r="L32" s="135">
        <f t="shared" si="22"/>
        <v>1</v>
      </c>
      <c r="M32" s="136"/>
      <c r="N32" s="279">
        <f t="shared" si="16"/>
        <v>-1999</v>
      </c>
      <c r="O32" s="238">
        <f t="shared" si="25"/>
        <v>2023</v>
      </c>
      <c r="P32" s="280">
        <f t="shared" si="18"/>
        <v>24</v>
      </c>
      <c r="Q32" s="136"/>
      <c r="R32" s="176">
        <f t="shared" si="23"/>
        <v>1</v>
      </c>
      <c r="S32" s="177"/>
      <c r="T32" s="178">
        <f t="shared" si="19"/>
        <v>1</v>
      </c>
      <c r="U32" s="178"/>
      <c r="V32" s="179">
        <f t="shared" si="1"/>
        <v>0</v>
      </c>
      <c r="W32" s="138"/>
      <c r="X32" s="178">
        <f t="shared" si="20"/>
        <v>0</v>
      </c>
      <c r="Y32" s="178"/>
      <c r="Z32" s="178">
        <f t="shared" si="2"/>
        <v>0</v>
      </c>
      <c r="AA32" s="178"/>
      <c r="AB32" s="178">
        <f t="shared" si="3"/>
        <v>0</v>
      </c>
      <c r="AC32" s="178"/>
      <c r="AD32" s="178">
        <f t="shared" si="4"/>
        <v>0</v>
      </c>
      <c r="AE32" s="178"/>
      <c r="AF32" s="178">
        <f t="shared" si="5"/>
        <v>0</v>
      </c>
      <c r="AG32" s="178"/>
      <c r="AH32" s="178">
        <f t="shared" si="6"/>
        <v>0</v>
      </c>
      <c r="AI32" s="178"/>
      <c r="AJ32" s="178">
        <f t="shared" si="7"/>
        <v>0</v>
      </c>
      <c r="AK32" s="178"/>
      <c r="AL32" s="178">
        <f t="shared" si="8"/>
        <v>0</v>
      </c>
      <c r="AM32" s="178"/>
      <c r="AN32" s="178">
        <f t="shared" si="9"/>
        <v>0</v>
      </c>
      <c r="AO32" s="178"/>
      <c r="AP32" s="178">
        <f t="shared" si="10"/>
        <v>0</v>
      </c>
      <c r="AQ32" s="178"/>
      <c r="AR32" s="178">
        <f t="shared" si="11"/>
        <v>0</v>
      </c>
      <c r="AS32" s="178"/>
      <c r="AT32" s="178">
        <f t="shared" si="12"/>
        <v>0</v>
      </c>
      <c r="AU32" s="178"/>
      <c r="AV32" s="178">
        <f t="shared" si="13"/>
        <v>0</v>
      </c>
      <c r="AW32" s="178"/>
      <c r="AX32" s="178">
        <f t="shared" si="14"/>
        <v>0</v>
      </c>
      <c r="AY32" s="178"/>
      <c r="AZ32" s="178">
        <f t="shared" si="15"/>
        <v>0</v>
      </c>
      <c r="BA32" s="136"/>
    </row>
    <row r="33" spans="2:53" s="151" customFormat="1" x14ac:dyDescent="0.35">
      <c r="B33" s="135">
        <f>+B32+1</f>
        <v>23</v>
      </c>
      <c r="C33" s="136"/>
      <c r="D33" s="137">
        <v>1</v>
      </c>
      <c r="E33" s="138"/>
      <c r="F33" s="135" t="str">
        <f t="shared" si="21"/>
        <v>x</v>
      </c>
      <c r="G33" s="137"/>
      <c r="H33" s="136" t="s">
        <v>45</v>
      </c>
      <c r="I33" s="136"/>
      <c r="J33" s="135">
        <v>1</v>
      </c>
      <c r="K33" s="136">
        <v>23</v>
      </c>
      <c r="L33" s="135">
        <f t="shared" si="22"/>
        <v>1</v>
      </c>
      <c r="M33" s="136"/>
      <c r="N33" s="279">
        <f t="shared" si="16"/>
        <v>-1999</v>
      </c>
      <c r="O33" s="238">
        <f t="shared" si="25"/>
        <v>2023</v>
      </c>
      <c r="P33" s="280">
        <f t="shared" si="18"/>
        <v>24</v>
      </c>
      <c r="Q33" s="136"/>
      <c r="R33" s="176">
        <f t="shared" si="23"/>
        <v>1</v>
      </c>
      <c r="S33" s="177"/>
      <c r="T33" s="178">
        <f t="shared" si="19"/>
        <v>1</v>
      </c>
      <c r="U33" s="178"/>
      <c r="V33" s="179">
        <f t="shared" si="1"/>
        <v>0</v>
      </c>
      <c r="W33" s="138"/>
      <c r="X33" s="178">
        <f t="shared" si="20"/>
        <v>0</v>
      </c>
      <c r="Y33" s="178"/>
      <c r="Z33" s="178">
        <f t="shared" si="2"/>
        <v>0</v>
      </c>
      <c r="AA33" s="178"/>
      <c r="AB33" s="178">
        <f t="shared" si="3"/>
        <v>0</v>
      </c>
      <c r="AC33" s="178"/>
      <c r="AD33" s="178">
        <f t="shared" si="4"/>
        <v>0</v>
      </c>
      <c r="AE33" s="178"/>
      <c r="AF33" s="178">
        <f t="shared" si="5"/>
        <v>0</v>
      </c>
      <c r="AG33" s="178"/>
      <c r="AH33" s="178">
        <f t="shared" si="6"/>
        <v>0</v>
      </c>
      <c r="AI33" s="178"/>
      <c r="AJ33" s="178">
        <f t="shared" si="7"/>
        <v>0</v>
      </c>
      <c r="AK33" s="178"/>
      <c r="AL33" s="178">
        <f t="shared" si="8"/>
        <v>0</v>
      </c>
      <c r="AM33" s="178"/>
      <c r="AN33" s="178">
        <f t="shared" si="9"/>
        <v>0</v>
      </c>
      <c r="AO33" s="178"/>
      <c r="AP33" s="178">
        <f t="shared" si="10"/>
        <v>0</v>
      </c>
      <c r="AQ33" s="178"/>
      <c r="AR33" s="178">
        <f t="shared" si="11"/>
        <v>0</v>
      </c>
      <c r="AS33" s="178"/>
      <c r="AT33" s="178">
        <f t="shared" si="12"/>
        <v>0</v>
      </c>
      <c r="AU33" s="178"/>
      <c r="AV33" s="178">
        <f t="shared" si="13"/>
        <v>0</v>
      </c>
      <c r="AW33" s="178"/>
      <c r="AX33" s="178">
        <f t="shared" si="14"/>
        <v>0</v>
      </c>
      <c r="AY33" s="178"/>
      <c r="AZ33" s="178">
        <f t="shared" si="15"/>
        <v>0</v>
      </c>
      <c r="BA33" s="136"/>
    </row>
    <row r="34" spans="2:53" s="151" customFormat="1" x14ac:dyDescent="0.35">
      <c r="B34" s="135">
        <f>+B33+1</f>
        <v>24</v>
      </c>
      <c r="C34" s="136"/>
      <c r="D34" s="137">
        <v>1</v>
      </c>
      <c r="E34" s="138"/>
      <c r="F34" s="135" t="str">
        <f t="shared" si="21"/>
        <v>x</v>
      </c>
      <c r="G34" s="136"/>
      <c r="H34" s="188" t="s">
        <v>45</v>
      </c>
      <c r="I34" s="136"/>
      <c r="J34" s="135">
        <v>1</v>
      </c>
      <c r="K34" s="136">
        <v>23</v>
      </c>
      <c r="L34" s="135">
        <f t="shared" si="22"/>
        <v>1</v>
      </c>
      <c r="M34" s="136"/>
      <c r="N34" s="279">
        <f t="shared" si="16"/>
        <v>-1999</v>
      </c>
      <c r="O34" s="238">
        <f t="shared" si="25"/>
        <v>2023</v>
      </c>
      <c r="P34" s="280">
        <f t="shared" si="18"/>
        <v>24</v>
      </c>
      <c r="Q34" s="136"/>
      <c r="R34" s="176">
        <f t="shared" si="23"/>
        <v>1</v>
      </c>
      <c r="S34" s="177"/>
      <c r="T34" s="178">
        <f t="shared" si="19"/>
        <v>1</v>
      </c>
      <c r="U34" s="178"/>
      <c r="V34" s="179">
        <f t="shared" si="1"/>
        <v>0</v>
      </c>
      <c r="W34" s="138"/>
      <c r="X34" s="178">
        <f t="shared" si="20"/>
        <v>0</v>
      </c>
      <c r="Y34" s="178"/>
      <c r="Z34" s="178">
        <f t="shared" si="2"/>
        <v>0</v>
      </c>
      <c r="AA34" s="178"/>
      <c r="AB34" s="178">
        <f t="shared" si="3"/>
        <v>0</v>
      </c>
      <c r="AC34" s="178"/>
      <c r="AD34" s="178">
        <f t="shared" si="4"/>
        <v>0</v>
      </c>
      <c r="AE34" s="178"/>
      <c r="AF34" s="178">
        <f t="shared" si="5"/>
        <v>0</v>
      </c>
      <c r="AG34" s="178"/>
      <c r="AH34" s="178">
        <f t="shared" si="6"/>
        <v>0</v>
      </c>
      <c r="AI34" s="178"/>
      <c r="AJ34" s="178">
        <f t="shared" si="7"/>
        <v>0</v>
      </c>
      <c r="AK34" s="178"/>
      <c r="AL34" s="178">
        <f t="shared" si="8"/>
        <v>0</v>
      </c>
      <c r="AM34" s="178"/>
      <c r="AN34" s="178">
        <f t="shared" si="9"/>
        <v>0</v>
      </c>
      <c r="AO34" s="178"/>
      <c r="AP34" s="178">
        <f t="shared" si="10"/>
        <v>0</v>
      </c>
      <c r="AQ34" s="178"/>
      <c r="AR34" s="178">
        <f t="shared" si="11"/>
        <v>0</v>
      </c>
      <c r="AS34" s="178"/>
      <c r="AT34" s="178">
        <f t="shared" si="12"/>
        <v>0</v>
      </c>
      <c r="AU34" s="178"/>
      <c r="AV34" s="178">
        <f t="shared" si="13"/>
        <v>0</v>
      </c>
      <c r="AW34" s="178"/>
      <c r="AX34" s="178">
        <f t="shared" si="14"/>
        <v>0</v>
      </c>
      <c r="AY34" s="178"/>
      <c r="AZ34" s="178">
        <f t="shared" si="15"/>
        <v>0</v>
      </c>
      <c r="BA34" s="136"/>
    </row>
    <row r="35" spans="2:53" s="151" customFormat="1" x14ac:dyDescent="0.35">
      <c r="B35" s="168">
        <f t="shared" ref="B35:B50" si="27">+B34+1</f>
        <v>25</v>
      </c>
      <c r="C35" s="169"/>
      <c r="D35" s="170">
        <v>1</v>
      </c>
      <c r="E35" s="171"/>
      <c r="F35" s="168" t="str">
        <f t="shared" si="21"/>
        <v>x</v>
      </c>
      <c r="G35" s="169"/>
      <c r="H35" s="169" t="s">
        <v>45</v>
      </c>
      <c r="I35" s="169"/>
      <c r="J35" s="168">
        <v>1</v>
      </c>
      <c r="K35" s="169">
        <v>23</v>
      </c>
      <c r="L35" s="168">
        <f t="shared" si="22"/>
        <v>1</v>
      </c>
      <c r="M35" s="169"/>
      <c r="N35" s="241">
        <f t="shared" si="16"/>
        <v>-1999</v>
      </c>
      <c r="O35" s="237">
        <f t="shared" si="25"/>
        <v>2023</v>
      </c>
      <c r="P35" s="234">
        <f t="shared" si="18"/>
        <v>24</v>
      </c>
      <c r="Q35" s="169"/>
      <c r="R35" s="172">
        <f t="shared" si="23"/>
        <v>1</v>
      </c>
      <c r="S35" s="173"/>
      <c r="T35" s="174">
        <f t="shared" si="19"/>
        <v>1</v>
      </c>
      <c r="U35" s="174"/>
      <c r="V35" s="175">
        <f t="shared" si="1"/>
        <v>0</v>
      </c>
      <c r="W35" s="171"/>
      <c r="X35" s="174">
        <f t="shared" si="20"/>
        <v>0</v>
      </c>
      <c r="Y35" s="174"/>
      <c r="Z35" s="174">
        <f t="shared" si="2"/>
        <v>0</v>
      </c>
      <c r="AA35" s="174"/>
      <c r="AB35" s="174">
        <f t="shared" si="3"/>
        <v>0</v>
      </c>
      <c r="AC35" s="174"/>
      <c r="AD35" s="174">
        <f t="shared" si="4"/>
        <v>0</v>
      </c>
      <c r="AE35" s="174"/>
      <c r="AF35" s="174">
        <f t="shared" si="5"/>
        <v>0</v>
      </c>
      <c r="AG35" s="174"/>
      <c r="AH35" s="174">
        <f t="shared" si="6"/>
        <v>0</v>
      </c>
      <c r="AI35" s="174"/>
      <c r="AJ35" s="174">
        <f t="shared" si="7"/>
        <v>0</v>
      </c>
      <c r="AK35" s="174"/>
      <c r="AL35" s="174">
        <f t="shared" si="8"/>
        <v>0</v>
      </c>
      <c r="AM35" s="174"/>
      <c r="AN35" s="174">
        <f t="shared" si="9"/>
        <v>0</v>
      </c>
      <c r="AO35" s="174"/>
      <c r="AP35" s="174">
        <f t="shared" si="10"/>
        <v>0</v>
      </c>
      <c r="AQ35" s="174"/>
      <c r="AR35" s="174">
        <f t="shared" si="11"/>
        <v>0</v>
      </c>
      <c r="AS35" s="174"/>
      <c r="AT35" s="174">
        <f t="shared" si="12"/>
        <v>0</v>
      </c>
      <c r="AU35" s="174"/>
      <c r="AV35" s="174">
        <f t="shared" si="13"/>
        <v>0</v>
      </c>
      <c r="AW35" s="174"/>
      <c r="AX35" s="174">
        <f t="shared" si="14"/>
        <v>0</v>
      </c>
      <c r="AY35" s="174"/>
      <c r="AZ35" s="174">
        <f t="shared" si="15"/>
        <v>0</v>
      </c>
      <c r="BA35" s="136"/>
    </row>
    <row r="36" spans="2:53" s="151" customFormat="1" x14ac:dyDescent="0.35">
      <c r="B36" s="168">
        <f t="shared" si="27"/>
        <v>26</v>
      </c>
      <c r="C36" s="169"/>
      <c r="D36" s="170">
        <v>1</v>
      </c>
      <c r="E36" s="171"/>
      <c r="F36" s="168" t="str">
        <f t="shared" si="21"/>
        <v>x</v>
      </c>
      <c r="G36" s="169"/>
      <c r="H36" s="169" t="s">
        <v>45</v>
      </c>
      <c r="I36" s="169"/>
      <c r="J36" s="168">
        <v>1</v>
      </c>
      <c r="K36" s="169">
        <v>23</v>
      </c>
      <c r="L36" s="168">
        <f t="shared" si="22"/>
        <v>1</v>
      </c>
      <c r="M36" s="169"/>
      <c r="N36" s="241">
        <f t="shared" si="16"/>
        <v>-1999</v>
      </c>
      <c r="O36" s="237">
        <f t="shared" si="25"/>
        <v>2023</v>
      </c>
      <c r="P36" s="234">
        <f t="shared" si="18"/>
        <v>24</v>
      </c>
      <c r="Q36" s="169"/>
      <c r="R36" s="172">
        <f t="shared" si="23"/>
        <v>1</v>
      </c>
      <c r="S36" s="173"/>
      <c r="T36" s="174">
        <f t="shared" si="19"/>
        <v>1</v>
      </c>
      <c r="U36" s="174"/>
      <c r="V36" s="175">
        <f t="shared" si="1"/>
        <v>0</v>
      </c>
      <c r="W36" s="171"/>
      <c r="X36" s="174">
        <f t="shared" si="20"/>
        <v>0</v>
      </c>
      <c r="Y36" s="174"/>
      <c r="Z36" s="174">
        <f t="shared" si="2"/>
        <v>0</v>
      </c>
      <c r="AA36" s="174"/>
      <c r="AB36" s="174">
        <f t="shared" si="3"/>
        <v>0</v>
      </c>
      <c r="AC36" s="174"/>
      <c r="AD36" s="174">
        <f t="shared" si="4"/>
        <v>0</v>
      </c>
      <c r="AE36" s="174"/>
      <c r="AF36" s="174">
        <f t="shared" si="5"/>
        <v>0</v>
      </c>
      <c r="AG36" s="174"/>
      <c r="AH36" s="174">
        <f t="shared" si="6"/>
        <v>0</v>
      </c>
      <c r="AI36" s="174"/>
      <c r="AJ36" s="174">
        <f t="shared" si="7"/>
        <v>0</v>
      </c>
      <c r="AK36" s="174"/>
      <c r="AL36" s="174">
        <f t="shared" si="8"/>
        <v>0</v>
      </c>
      <c r="AM36" s="174"/>
      <c r="AN36" s="174">
        <f t="shared" si="9"/>
        <v>0</v>
      </c>
      <c r="AO36" s="174"/>
      <c r="AP36" s="174">
        <f t="shared" si="10"/>
        <v>0</v>
      </c>
      <c r="AQ36" s="174"/>
      <c r="AR36" s="174">
        <f t="shared" si="11"/>
        <v>0</v>
      </c>
      <c r="AS36" s="174"/>
      <c r="AT36" s="174">
        <f t="shared" si="12"/>
        <v>0</v>
      </c>
      <c r="AU36" s="174"/>
      <c r="AV36" s="174">
        <f t="shared" si="13"/>
        <v>0</v>
      </c>
      <c r="AW36" s="174"/>
      <c r="AX36" s="174">
        <f t="shared" si="14"/>
        <v>0</v>
      </c>
      <c r="AY36" s="174"/>
      <c r="AZ36" s="174">
        <f t="shared" si="15"/>
        <v>0</v>
      </c>
      <c r="BA36" s="136"/>
    </row>
    <row r="37" spans="2:53" x14ac:dyDescent="0.35">
      <c r="B37" s="168">
        <f t="shared" si="27"/>
        <v>27</v>
      </c>
      <c r="C37" s="169"/>
      <c r="D37" s="170">
        <v>1</v>
      </c>
      <c r="E37" s="171"/>
      <c r="F37" s="168" t="str">
        <f t="shared" si="21"/>
        <v>x</v>
      </c>
      <c r="G37" s="169"/>
      <c r="H37" s="169" t="s">
        <v>45</v>
      </c>
      <c r="I37" s="169"/>
      <c r="J37" s="168">
        <v>1</v>
      </c>
      <c r="K37" s="169">
        <v>23</v>
      </c>
      <c r="L37" s="168">
        <f t="shared" si="22"/>
        <v>1</v>
      </c>
      <c r="M37" s="169"/>
      <c r="N37" s="241">
        <f t="shared" si="16"/>
        <v>-1999</v>
      </c>
      <c r="O37" s="237">
        <f t="shared" si="25"/>
        <v>2023</v>
      </c>
      <c r="P37" s="234">
        <f t="shared" si="18"/>
        <v>24</v>
      </c>
      <c r="Q37" s="169"/>
      <c r="R37" s="172">
        <f t="shared" si="23"/>
        <v>1</v>
      </c>
      <c r="S37" s="173"/>
      <c r="T37" s="174">
        <f t="shared" si="19"/>
        <v>1</v>
      </c>
      <c r="U37" s="174"/>
      <c r="V37" s="175">
        <f t="shared" si="1"/>
        <v>0</v>
      </c>
      <c r="W37" s="171"/>
      <c r="X37" s="174">
        <f t="shared" si="20"/>
        <v>0</v>
      </c>
      <c r="Y37" s="174"/>
      <c r="Z37" s="174">
        <f t="shared" si="2"/>
        <v>0</v>
      </c>
      <c r="AA37" s="174"/>
      <c r="AB37" s="174">
        <f t="shared" si="3"/>
        <v>0</v>
      </c>
      <c r="AC37" s="174"/>
      <c r="AD37" s="174">
        <f t="shared" si="4"/>
        <v>0</v>
      </c>
      <c r="AE37" s="174"/>
      <c r="AF37" s="174">
        <f t="shared" si="5"/>
        <v>0</v>
      </c>
      <c r="AG37" s="174"/>
      <c r="AH37" s="174">
        <f t="shared" si="6"/>
        <v>0</v>
      </c>
      <c r="AI37" s="174"/>
      <c r="AJ37" s="174">
        <f t="shared" si="7"/>
        <v>0</v>
      </c>
      <c r="AK37" s="174"/>
      <c r="AL37" s="174">
        <f t="shared" si="8"/>
        <v>0</v>
      </c>
      <c r="AM37" s="174"/>
      <c r="AN37" s="174">
        <f t="shared" si="9"/>
        <v>0</v>
      </c>
      <c r="AO37" s="174"/>
      <c r="AP37" s="174">
        <f t="shared" si="10"/>
        <v>0</v>
      </c>
      <c r="AQ37" s="174"/>
      <c r="AR37" s="174">
        <f t="shared" si="11"/>
        <v>0</v>
      </c>
      <c r="AS37" s="174"/>
      <c r="AT37" s="174">
        <f t="shared" si="12"/>
        <v>0</v>
      </c>
      <c r="AU37" s="174"/>
      <c r="AV37" s="174">
        <f t="shared" si="13"/>
        <v>0</v>
      </c>
      <c r="AW37" s="174"/>
      <c r="AX37" s="174">
        <f t="shared" si="14"/>
        <v>0</v>
      </c>
      <c r="AY37" s="174"/>
      <c r="AZ37" s="174">
        <f t="shared" si="15"/>
        <v>0</v>
      </c>
    </row>
    <row r="38" spans="2:53" s="181" customFormat="1" x14ac:dyDescent="0.35">
      <c r="B38" s="180">
        <f t="shared" si="27"/>
        <v>28</v>
      </c>
      <c r="D38" s="182">
        <v>1</v>
      </c>
      <c r="E38" s="183"/>
      <c r="F38" s="135" t="str">
        <f t="shared" si="21"/>
        <v>x</v>
      </c>
      <c r="H38" s="181" t="s">
        <v>45</v>
      </c>
      <c r="J38" s="180">
        <v>1</v>
      </c>
      <c r="K38" s="136">
        <v>23</v>
      </c>
      <c r="L38" s="135">
        <f t="shared" si="22"/>
        <v>1</v>
      </c>
      <c r="M38" s="136"/>
      <c r="N38" s="279">
        <f t="shared" si="16"/>
        <v>-1999</v>
      </c>
      <c r="O38" s="238">
        <f t="shared" si="25"/>
        <v>2023</v>
      </c>
      <c r="P38" s="280">
        <f t="shared" si="18"/>
        <v>24</v>
      </c>
      <c r="Q38" s="136"/>
      <c r="R38" s="176">
        <f t="shared" si="23"/>
        <v>1</v>
      </c>
      <c r="S38" s="184"/>
      <c r="T38" s="185">
        <f t="shared" si="19"/>
        <v>1</v>
      </c>
      <c r="U38" s="185"/>
      <c r="V38" s="186">
        <f t="shared" si="1"/>
        <v>0</v>
      </c>
      <c r="W38" s="183"/>
      <c r="X38" s="185">
        <f t="shared" si="20"/>
        <v>0</v>
      </c>
      <c r="Y38" s="185"/>
      <c r="Z38" s="185">
        <f t="shared" si="2"/>
        <v>0</v>
      </c>
      <c r="AA38" s="185"/>
      <c r="AB38" s="185">
        <f t="shared" si="3"/>
        <v>0</v>
      </c>
      <c r="AC38" s="185"/>
      <c r="AD38" s="185">
        <f t="shared" si="4"/>
        <v>0</v>
      </c>
      <c r="AE38" s="185"/>
      <c r="AF38" s="185">
        <f t="shared" si="5"/>
        <v>0</v>
      </c>
      <c r="AG38" s="185"/>
      <c r="AH38" s="185">
        <f t="shared" si="6"/>
        <v>0</v>
      </c>
      <c r="AI38" s="185"/>
      <c r="AJ38" s="185">
        <f t="shared" si="7"/>
        <v>0</v>
      </c>
      <c r="AK38" s="185"/>
      <c r="AL38" s="185">
        <f t="shared" si="8"/>
        <v>0</v>
      </c>
      <c r="AM38" s="185"/>
      <c r="AN38" s="185">
        <f t="shared" si="9"/>
        <v>0</v>
      </c>
      <c r="AO38" s="185"/>
      <c r="AP38" s="185">
        <f t="shared" si="10"/>
        <v>0</v>
      </c>
      <c r="AQ38" s="185"/>
      <c r="AR38" s="185">
        <f t="shared" si="11"/>
        <v>0</v>
      </c>
      <c r="AS38" s="185"/>
      <c r="AT38" s="185">
        <f t="shared" si="12"/>
        <v>0</v>
      </c>
      <c r="AU38" s="185"/>
      <c r="AV38" s="185">
        <f t="shared" si="13"/>
        <v>0</v>
      </c>
      <c r="AW38" s="185"/>
      <c r="AX38" s="185">
        <f t="shared" si="14"/>
        <v>0</v>
      </c>
      <c r="AY38" s="185"/>
      <c r="AZ38" s="185">
        <f t="shared" si="15"/>
        <v>0</v>
      </c>
    </row>
    <row r="39" spans="2:53" s="181" customFormat="1" x14ac:dyDescent="0.35">
      <c r="B39" s="180">
        <f t="shared" si="27"/>
        <v>29</v>
      </c>
      <c r="D39" s="182">
        <v>1</v>
      </c>
      <c r="E39" s="183"/>
      <c r="F39" s="135" t="str">
        <f t="shared" si="21"/>
        <v>x</v>
      </c>
      <c r="H39" s="181" t="s">
        <v>45</v>
      </c>
      <c r="J39" s="180">
        <v>1</v>
      </c>
      <c r="K39" s="136">
        <v>23</v>
      </c>
      <c r="L39" s="135">
        <f t="shared" si="22"/>
        <v>1</v>
      </c>
      <c r="M39" s="136"/>
      <c r="N39" s="279">
        <f t="shared" si="16"/>
        <v>-1999</v>
      </c>
      <c r="O39" s="238">
        <f t="shared" si="25"/>
        <v>2023</v>
      </c>
      <c r="P39" s="280">
        <f t="shared" si="18"/>
        <v>24</v>
      </c>
      <c r="Q39" s="136"/>
      <c r="R39" s="176">
        <f t="shared" si="23"/>
        <v>1</v>
      </c>
      <c r="S39" s="184"/>
      <c r="T39" s="185">
        <f t="shared" si="19"/>
        <v>1</v>
      </c>
      <c r="U39" s="185"/>
      <c r="V39" s="186">
        <f t="shared" si="1"/>
        <v>0</v>
      </c>
      <c r="W39" s="183"/>
      <c r="X39" s="185">
        <f t="shared" si="20"/>
        <v>0</v>
      </c>
      <c r="Y39" s="185"/>
      <c r="Z39" s="185">
        <f t="shared" si="2"/>
        <v>0</v>
      </c>
      <c r="AA39" s="185"/>
      <c r="AB39" s="185">
        <f t="shared" si="3"/>
        <v>0</v>
      </c>
      <c r="AC39" s="185"/>
      <c r="AD39" s="185">
        <f t="shared" si="4"/>
        <v>0</v>
      </c>
      <c r="AE39" s="185"/>
      <c r="AF39" s="185">
        <f t="shared" si="5"/>
        <v>0</v>
      </c>
      <c r="AG39" s="185"/>
      <c r="AH39" s="185">
        <f t="shared" si="6"/>
        <v>0</v>
      </c>
      <c r="AI39" s="185"/>
      <c r="AJ39" s="185">
        <f t="shared" si="7"/>
        <v>0</v>
      </c>
      <c r="AK39" s="185"/>
      <c r="AL39" s="185">
        <f t="shared" si="8"/>
        <v>0</v>
      </c>
      <c r="AM39" s="185"/>
      <c r="AN39" s="185">
        <f t="shared" si="9"/>
        <v>0</v>
      </c>
      <c r="AO39" s="185"/>
      <c r="AP39" s="185">
        <f t="shared" si="10"/>
        <v>0</v>
      </c>
      <c r="AQ39" s="185"/>
      <c r="AR39" s="185">
        <f t="shared" si="11"/>
        <v>0</v>
      </c>
      <c r="AS39" s="185"/>
      <c r="AT39" s="185">
        <f t="shared" si="12"/>
        <v>0</v>
      </c>
      <c r="AU39" s="185"/>
      <c r="AV39" s="185">
        <f t="shared" si="13"/>
        <v>0</v>
      </c>
      <c r="AW39" s="185"/>
      <c r="AX39" s="185">
        <f t="shared" si="14"/>
        <v>0</v>
      </c>
      <c r="AY39" s="185"/>
      <c r="AZ39" s="185">
        <f t="shared" si="15"/>
        <v>0</v>
      </c>
    </row>
    <row r="40" spans="2:53" s="181" customFormat="1" x14ac:dyDescent="0.35">
      <c r="B40" s="180">
        <f t="shared" si="27"/>
        <v>30</v>
      </c>
      <c r="D40" s="182">
        <v>1</v>
      </c>
      <c r="E40" s="183"/>
      <c r="F40" s="135" t="str">
        <f t="shared" si="21"/>
        <v>x</v>
      </c>
      <c r="H40" s="181" t="s">
        <v>45</v>
      </c>
      <c r="J40" s="180">
        <v>1</v>
      </c>
      <c r="K40" s="136">
        <v>23</v>
      </c>
      <c r="L40" s="135">
        <f t="shared" si="22"/>
        <v>1</v>
      </c>
      <c r="M40" s="136"/>
      <c r="N40" s="279">
        <f t="shared" si="16"/>
        <v>-1999</v>
      </c>
      <c r="O40" s="238">
        <f t="shared" si="25"/>
        <v>2023</v>
      </c>
      <c r="P40" s="280">
        <f t="shared" si="18"/>
        <v>24</v>
      </c>
      <c r="Q40" s="136"/>
      <c r="R40" s="176">
        <f t="shared" si="23"/>
        <v>1</v>
      </c>
      <c r="S40" s="184"/>
      <c r="T40" s="185">
        <f t="shared" si="19"/>
        <v>1</v>
      </c>
      <c r="U40" s="185"/>
      <c r="V40" s="186">
        <f t="shared" si="1"/>
        <v>0</v>
      </c>
      <c r="W40" s="183"/>
      <c r="X40" s="185">
        <f t="shared" si="20"/>
        <v>0</v>
      </c>
      <c r="Y40" s="185"/>
      <c r="Z40" s="185">
        <f t="shared" si="2"/>
        <v>0</v>
      </c>
      <c r="AA40" s="185"/>
      <c r="AB40" s="185">
        <f t="shared" si="3"/>
        <v>0</v>
      </c>
      <c r="AC40" s="185"/>
      <c r="AD40" s="185">
        <f t="shared" si="4"/>
        <v>0</v>
      </c>
      <c r="AE40" s="185"/>
      <c r="AF40" s="185">
        <f t="shared" si="5"/>
        <v>0</v>
      </c>
      <c r="AG40" s="185"/>
      <c r="AH40" s="185">
        <f t="shared" si="6"/>
        <v>0</v>
      </c>
      <c r="AI40" s="185"/>
      <c r="AJ40" s="185">
        <f t="shared" si="7"/>
        <v>0</v>
      </c>
      <c r="AK40" s="185"/>
      <c r="AL40" s="185">
        <f t="shared" si="8"/>
        <v>0</v>
      </c>
      <c r="AM40" s="185"/>
      <c r="AN40" s="185">
        <f t="shared" si="9"/>
        <v>0</v>
      </c>
      <c r="AO40" s="185"/>
      <c r="AP40" s="185">
        <f t="shared" si="10"/>
        <v>0</v>
      </c>
      <c r="AQ40" s="185"/>
      <c r="AR40" s="185">
        <f t="shared" si="11"/>
        <v>0</v>
      </c>
      <c r="AS40" s="185"/>
      <c r="AT40" s="185">
        <f t="shared" si="12"/>
        <v>0</v>
      </c>
      <c r="AU40" s="185"/>
      <c r="AV40" s="185">
        <f t="shared" si="13"/>
        <v>0</v>
      </c>
      <c r="AW40" s="185"/>
      <c r="AX40" s="185">
        <f t="shared" si="14"/>
        <v>0</v>
      </c>
      <c r="AY40" s="185"/>
      <c r="AZ40" s="185">
        <f t="shared" si="15"/>
        <v>0</v>
      </c>
    </row>
    <row r="41" spans="2:53" s="181" customFormat="1" x14ac:dyDescent="0.35">
      <c r="B41" s="168">
        <f t="shared" si="27"/>
        <v>31</v>
      </c>
      <c r="C41" s="169"/>
      <c r="D41" s="170">
        <v>1</v>
      </c>
      <c r="E41" s="171"/>
      <c r="F41" s="168" t="str">
        <f t="shared" si="21"/>
        <v>x</v>
      </c>
      <c r="G41" s="169"/>
      <c r="H41" s="169" t="s">
        <v>45</v>
      </c>
      <c r="I41" s="169"/>
      <c r="J41" s="168">
        <v>1</v>
      </c>
      <c r="K41" s="169">
        <v>23</v>
      </c>
      <c r="L41" s="168">
        <f t="shared" si="22"/>
        <v>1</v>
      </c>
      <c r="M41" s="169"/>
      <c r="N41" s="241">
        <f t="shared" si="16"/>
        <v>-1999</v>
      </c>
      <c r="O41" s="237">
        <f t="shared" si="25"/>
        <v>2023</v>
      </c>
      <c r="P41" s="234">
        <f t="shared" si="18"/>
        <v>24</v>
      </c>
      <c r="Q41" s="169"/>
      <c r="R41" s="172">
        <f t="shared" si="23"/>
        <v>1</v>
      </c>
      <c r="S41" s="173"/>
      <c r="T41" s="174">
        <f t="shared" si="19"/>
        <v>1</v>
      </c>
      <c r="U41" s="174"/>
      <c r="V41" s="175">
        <f t="shared" si="1"/>
        <v>0</v>
      </c>
      <c r="W41" s="171"/>
      <c r="X41" s="174">
        <f t="shared" si="20"/>
        <v>0</v>
      </c>
      <c r="Y41" s="174"/>
      <c r="Z41" s="174">
        <f t="shared" si="2"/>
        <v>0</v>
      </c>
      <c r="AA41" s="174"/>
      <c r="AB41" s="174">
        <f t="shared" si="3"/>
        <v>0</v>
      </c>
      <c r="AC41" s="174"/>
      <c r="AD41" s="174">
        <f t="shared" si="4"/>
        <v>0</v>
      </c>
      <c r="AE41" s="174"/>
      <c r="AF41" s="174">
        <f t="shared" si="5"/>
        <v>0</v>
      </c>
      <c r="AG41" s="174"/>
      <c r="AH41" s="174">
        <f t="shared" si="6"/>
        <v>0</v>
      </c>
      <c r="AI41" s="174"/>
      <c r="AJ41" s="174">
        <f t="shared" si="7"/>
        <v>0</v>
      </c>
      <c r="AK41" s="174"/>
      <c r="AL41" s="174">
        <f t="shared" si="8"/>
        <v>0</v>
      </c>
      <c r="AM41" s="174"/>
      <c r="AN41" s="174">
        <f t="shared" si="9"/>
        <v>0</v>
      </c>
      <c r="AO41" s="174"/>
      <c r="AP41" s="174">
        <f t="shared" si="10"/>
        <v>0</v>
      </c>
      <c r="AQ41" s="174"/>
      <c r="AR41" s="174">
        <f t="shared" si="11"/>
        <v>0</v>
      </c>
      <c r="AS41" s="174"/>
      <c r="AT41" s="174">
        <f t="shared" si="12"/>
        <v>0</v>
      </c>
      <c r="AU41" s="174"/>
      <c r="AV41" s="174">
        <f t="shared" si="13"/>
        <v>0</v>
      </c>
      <c r="AW41" s="174"/>
      <c r="AX41" s="174">
        <f t="shared" si="14"/>
        <v>0</v>
      </c>
      <c r="AY41" s="174"/>
      <c r="AZ41" s="174">
        <f t="shared" si="15"/>
        <v>0</v>
      </c>
    </row>
    <row r="42" spans="2:53" s="181" customFormat="1" x14ac:dyDescent="0.35">
      <c r="B42" s="168">
        <f t="shared" si="27"/>
        <v>32</v>
      </c>
      <c r="C42" s="169"/>
      <c r="D42" s="170">
        <v>1</v>
      </c>
      <c r="E42" s="171"/>
      <c r="F42" s="168" t="str">
        <f t="shared" si="21"/>
        <v>x</v>
      </c>
      <c r="G42" s="169"/>
      <c r="H42" s="169" t="s">
        <v>45</v>
      </c>
      <c r="I42" s="169"/>
      <c r="J42" s="168">
        <v>1</v>
      </c>
      <c r="K42" s="169">
        <v>23</v>
      </c>
      <c r="L42" s="168">
        <f t="shared" si="22"/>
        <v>1</v>
      </c>
      <c r="M42" s="169"/>
      <c r="N42" s="241">
        <f t="shared" si="16"/>
        <v>-1999</v>
      </c>
      <c r="O42" s="237">
        <f t="shared" si="25"/>
        <v>2023</v>
      </c>
      <c r="P42" s="234">
        <f t="shared" si="18"/>
        <v>24</v>
      </c>
      <c r="Q42" s="169"/>
      <c r="R42" s="172">
        <f t="shared" si="23"/>
        <v>1</v>
      </c>
      <c r="S42" s="173"/>
      <c r="T42" s="174">
        <f t="shared" si="19"/>
        <v>1</v>
      </c>
      <c r="U42" s="174"/>
      <c r="V42" s="175">
        <f t="shared" si="1"/>
        <v>0</v>
      </c>
      <c r="W42" s="171"/>
      <c r="X42" s="174">
        <f t="shared" si="20"/>
        <v>0</v>
      </c>
      <c r="Y42" s="174"/>
      <c r="Z42" s="174">
        <f t="shared" si="2"/>
        <v>0</v>
      </c>
      <c r="AA42" s="174"/>
      <c r="AB42" s="174">
        <f t="shared" si="3"/>
        <v>0</v>
      </c>
      <c r="AC42" s="174"/>
      <c r="AD42" s="174">
        <f t="shared" si="4"/>
        <v>0</v>
      </c>
      <c r="AE42" s="174"/>
      <c r="AF42" s="174">
        <f t="shared" si="5"/>
        <v>0</v>
      </c>
      <c r="AG42" s="174"/>
      <c r="AH42" s="174">
        <f t="shared" si="6"/>
        <v>0</v>
      </c>
      <c r="AI42" s="174"/>
      <c r="AJ42" s="174">
        <f t="shared" si="7"/>
        <v>0</v>
      </c>
      <c r="AK42" s="174"/>
      <c r="AL42" s="174">
        <f t="shared" si="8"/>
        <v>0</v>
      </c>
      <c r="AM42" s="174"/>
      <c r="AN42" s="174">
        <f t="shared" si="9"/>
        <v>0</v>
      </c>
      <c r="AO42" s="174"/>
      <c r="AP42" s="174">
        <f t="shared" si="10"/>
        <v>0</v>
      </c>
      <c r="AQ42" s="174"/>
      <c r="AR42" s="174">
        <f t="shared" si="11"/>
        <v>0</v>
      </c>
      <c r="AS42" s="174"/>
      <c r="AT42" s="174">
        <f t="shared" si="12"/>
        <v>0</v>
      </c>
      <c r="AU42" s="174"/>
      <c r="AV42" s="174">
        <f t="shared" si="13"/>
        <v>0</v>
      </c>
      <c r="AW42" s="174"/>
      <c r="AX42" s="174">
        <f t="shared" si="14"/>
        <v>0</v>
      </c>
      <c r="AY42" s="174"/>
      <c r="AZ42" s="174">
        <f t="shared" si="15"/>
        <v>0</v>
      </c>
    </row>
    <row r="43" spans="2:53" s="181" customFormat="1" x14ac:dyDescent="0.35">
      <c r="B43" s="168">
        <f t="shared" si="27"/>
        <v>33</v>
      </c>
      <c r="C43" s="169"/>
      <c r="D43" s="170">
        <v>1</v>
      </c>
      <c r="E43" s="171"/>
      <c r="F43" s="168" t="str">
        <f t="shared" si="21"/>
        <v>x</v>
      </c>
      <c r="G43" s="169"/>
      <c r="H43" s="169" t="s">
        <v>45</v>
      </c>
      <c r="I43" s="169"/>
      <c r="J43" s="168">
        <v>1</v>
      </c>
      <c r="K43" s="169">
        <v>23</v>
      </c>
      <c r="L43" s="168">
        <f t="shared" si="22"/>
        <v>1</v>
      </c>
      <c r="M43" s="169"/>
      <c r="N43" s="241">
        <f t="shared" si="16"/>
        <v>-1999</v>
      </c>
      <c r="O43" s="237">
        <f t="shared" si="25"/>
        <v>2023</v>
      </c>
      <c r="P43" s="234">
        <f t="shared" si="18"/>
        <v>24</v>
      </c>
      <c r="Q43" s="169"/>
      <c r="R43" s="172">
        <f t="shared" si="23"/>
        <v>1</v>
      </c>
      <c r="S43" s="173"/>
      <c r="T43" s="174">
        <f t="shared" si="19"/>
        <v>1</v>
      </c>
      <c r="U43" s="174"/>
      <c r="V43" s="175">
        <f t="shared" si="1"/>
        <v>0</v>
      </c>
      <c r="W43" s="171"/>
      <c r="X43" s="174">
        <f t="shared" si="20"/>
        <v>0</v>
      </c>
      <c r="Y43" s="174"/>
      <c r="Z43" s="174">
        <f t="shared" si="2"/>
        <v>0</v>
      </c>
      <c r="AA43" s="174"/>
      <c r="AB43" s="174">
        <f t="shared" si="3"/>
        <v>0</v>
      </c>
      <c r="AC43" s="174"/>
      <c r="AD43" s="174">
        <f t="shared" si="4"/>
        <v>0</v>
      </c>
      <c r="AE43" s="174"/>
      <c r="AF43" s="174">
        <f t="shared" si="5"/>
        <v>0</v>
      </c>
      <c r="AG43" s="174"/>
      <c r="AH43" s="174">
        <f t="shared" si="6"/>
        <v>0</v>
      </c>
      <c r="AI43" s="174"/>
      <c r="AJ43" s="174">
        <f t="shared" si="7"/>
        <v>0</v>
      </c>
      <c r="AK43" s="174"/>
      <c r="AL43" s="174">
        <f t="shared" si="8"/>
        <v>0</v>
      </c>
      <c r="AM43" s="174"/>
      <c r="AN43" s="174">
        <f t="shared" si="9"/>
        <v>0</v>
      </c>
      <c r="AO43" s="174"/>
      <c r="AP43" s="174">
        <f t="shared" si="10"/>
        <v>0</v>
      </c>
      <c r="AQ43" s="174"/>
      <c r="AR43" s="174">
        <f t="shared" si="11"/>
        <v>0</v>
      </c>
      <c r="AS43" s="174"/>
      <c r="AT43" s="174">
        <f t="shared" si="12"/>
        <v>0</v>
      </c>
      <c r="AU43" s="174"/>
      <c r="AV43" s="174">
        <f t="shared" si="13"/>
        <v>0</v>
      </c>
      <c r="AW43" s="174"/>
      <c r="AX43" s="174">
        <f t="shared" si="14"/>
        <v>0</v>
      </c>
      <c r="AY43" s="174"/>
      <c r="AZ43" s="174">
        <f t="shared" si="15"/>
        <v>0</v>
      </c>
    </row>
    <row r="44" spans="2:53" s="181" customFormat="1" x14ac:dyDescent="0.35">
      <c r="B44" s="180">
        <f t="shared" si="27"/>
        <v>34</v>
      </c>
      <c r="D44" s="182">
        <v>1</v>
      </c>
      <c r="E44" s="183"/>
      <c r="F44" s="135" t="str">
        <f t="shared" si="21"/>
        <v>x</v>
      </c>
      <c r="H44" s="181" t="s">
        <v>45</v>
      </c>
      <c r="J44" s="180">
        <v>1</v>
      </c>
      <c r="K44" s="136">
        <v>23</v>
      </c>
      <c r="L44" s="135">
        <f t="shared" si="22"/>
        <v>1</v>
      </c>
      <c r="M44" s="136"/>
      <c r="N44" s="279">
        <f t="shared" si="16"/>
        <v>-1999</v>
      </c>
      <c r="O44" s="238">
        <f t="shared" si="25"/>
        <v>2023</v>
      </c>
      <c r="P44" s="280">
        <f t="shared" si="18"/>
        <v>24</v>
      </c>
      <c r="Q44" s="136"/>
      <c r="R44" s="176">
        <f t="shared" si="23"/>
        <v>1</v>
      </c>
      <c r="S44" s="184"/>
      <c r="T44" s="185">
        <f t="shared" ref="T44:T50" si="28">D44*R44</f>
        <v>1</v>
      </c>
      <c r="U44" s="185"/>
      <c r="V44" s="186">
        <f t="shared" si="1"/>
        <v>0</v>
      </c>
      <c r="W44" s="183"/>
      <c r="X44" s="185">
        <f t="shared" si="20"/>
        <v>0</v>
      </c>
      <c r="Y44" s="185"/>
      <c r="Z44" s="185">
        <f t="shared" si="2"/>
        <v>0</v>
      </c>
      <c r="AA44" s="185"/>
      <c r="AB44" s="185">
        <f t="shared" si="3"/>
        <v>0</v>
      </c>
      <c r="AC44" s="185"/>
      <c r="AD44" s="185">
        <f t="shared" si="4"/>
        <v>0</v>
      </c>
      <c r="AE44" s="185"/>
      <c r="AF44" s="185">
        <f t="shared" si="5"/>
        <v>0</v>
      </c>
      <c r="AG44" s="185"/>
      <c r="AH44" s="185">
        <f t="shared" si="6"/>
        <v>0</v>
      </c>
      <c r="AI44" s="185"/>
      <c r="AJ44" s="185">
        <f t="shared" si="7"/>
        <v>0</v>
      </c>
      <c r="AK44" s="185"/>
      <c r="AL44" s="185">
        <f t="shared" si="8"/>
        <v>0</v>
      </c>
      <c r="AM44" s="185"/>
      <c r="AN44" s="185">
        <f t="shared" si="9"/>
        <v>0</v>
      </c>
      <c r="AO44" s="185"/>
      <c r="AP44" s="185">
        <f t="shared" si="10"/>
        <v>0</v>
      </c>
      <c r="AQ44" s="185"/>
      <c r="AR44" s="185">
        <f t="shared" si="11"/>
        <v>0</v>
      </c>
      <c r="AS44" s="185"/>
      <c r="AT44" s="185">
        <f t="shared" si="12"/>
        <v>0</v>
      </c>
      <c r="AU44" s="185"/>
      <c r="AV44" s="185">
        <f t="shared" si="13"/>
        <v>0</v>
      </c>
      <c r="AW44" s="185"/>
      <c r="AX44" s="185">
        <f t="shared" si="14"/>
        <v>0</v>
      </c>
      <c r="AY44" s="185"/>
      <c r="AZ44" s="185">
        <f t="shared" si="15"/>
        <v>0</v>
      </c>
    </row>
    <row r="45" spans="2:53" s="181" customFormat="1" x14ac:dyDescent="0.35">
      <c r="B45" s="180">
        <f t="shared" si="27"/>
        <v>35</v>
      </c>
      <c r="D45" s="182">
        <v>1</v>
      </c>
      <c r="E45" s="183"/>
      <c r="F45" s="135" t="str">
        <f t="shared" si="21"/>
        <v>x</v>
      </c>
      <c r="H45" s="181" t="s">
        <v>45</v>
      </c>
      <c r="J45" s="180">
        <v>1</v>
      </c>
      <c r="K45" s="136">
        <v>23</v>
      </c>
      <c r="L45" s="135">
        <f t="shared" si="22"/>
        <v>1</v>
      </c>
      <c r="M45" s="136"/>
      <c r="N45" s="279">
        <f t="shared" si="16"/>
        <v>-1999</v>
      </c>
      <c r="O45" s="238">
        <f t="shared" si="25"/>
        <v>2023</v>
      </c>
      <c r="P45" s="280">
        <f t="shared" si="18"/>
        <v>24</v>
      </c>
      <c r="Q45" s="136"/>
      <c r="R45" s="176">
        <f t="shared" si="23"/>
        <v>1</v>
      </c>
      <c r="S45" s="184"/>
      <c r="T45" s="185">
        <f t="shared" si="28"/>
        <v>1</v>
      </c>
      <c r="U45" s="185"/>
      <c r="V45" s="186">
        <f t="shared" si="1"/>
        <v>0</v>
      </c>
      <c r="W45" s="183"/>
      <c r="X45" s="185">
        <f t="shared" si="20"/>
        <v>0</v>
      </c>
      <c r="Y45" s="185"/>
      <c r="Z45" s="185">
        <f t="shared" si="2"/>
        <v>0</v>
      </c>
      <c r="AA45" s="185"/>
      <c r="AB45" s="185">
        <f t="shared" si="3"/>
        <v>0</v>
      </c>
      <c r="AC45" s="185"/>
      <c r="AD45" s="185">
        <f t="shared" si="4"/>
        <v>0</v>
      </c>
      <c r="AE45" s="185"/>
      <c r="AF45" s="185">
        <f t="shared" si="5"/>
        <v>0</v>
      </c>
      <c r="AG45" s="185"/>
      <c r="AH45" s="185">
        <f t="shared" si="6"/>
        <v>0</v>
      </c>
      <c r="AI45" s="185"/>
      <c r="AJ45" s="185">
        <f t="shared" si="7"/>
        <v>0</v>
      </c>
      <c r="AK45" s="185"/>
      <c r="AL45" s="185">
        <f t="shared" si="8"/>
        <v>0</v>
      </c>
      <c r="AM45" s="185"/>
      <c r="AN45" s="185">
        <f t="shared" si="9"/>
        <v>0</v>
      </c>
      <c r="AO45" s="185"/>
      <c r="AP45" s="185">
        <f t="shared" si="10"/>
        <v>0</v>
      </c>
      <c r="AQ45" s="185"/>
      <c r="AR45" s="185">
        <f t="shared" si="11"/>
        <v>0</v>
      </c>
      <c r="AS45" s="185"/>
      <c r="AT45" s="185">
        <f t="shared" si="12"/>
        <v>0</v>
      </c>
      <c r="AU45" s="185"/>
      <c r="AV45" s="185">
        <f t="shared" si="13"/>
        <v>0</v>
      </c>
      <c r="AW45" s="185"/>
      <c r="AX45" s="185">
        <f t="shared" si="14"/>
        <v>0</v>
      </c>
      <c r="AY45" s="185"/>
      <c r="AZ45" s="185">
        <f t="shared" si="15"/>
        <v>0</v>
      </c>
    </row>
    <row r="46" spans="2:53" s="181" customFormat="1" x14ac:dyDescent="0.35">
      <c r="B46" s="180">
        <f t="shared" si="27"/>
        <v>36</v>
      </c>
      <c r="D46" s="182">
        <v>1</v>
      </c>
      <c r="E46" s="183"/>
      <c r="F46" s="135" t="str">
        <f t="shared" si="21"/>
        <v>x</v>
      </c>
      <c r="H46" s="181" t="s">
        <v>45</v>
      </c>
      <c r="J46" s="180">
        <v>1</v>
      </c>
      <c r="K46" s="136">
        <v>23</v>
      </c>
      <c r="L46" s="135">
        <f t="shared" si="22"/>
        <v>1</v>
      </c>
      <c r="M46" s="136"/>
      <c r="N46" s="279">
        <f t="shared" si="16"/>
        <v>-1999</v>
      </c>
      <c r="O46" s="238">
        <f t="shared" si="25"/>
        <v>2023</v>
      </c>
      <c r="P46" s="280">
        <f t="shared" si="18"/>
        <v>24</v>
      </c>
      <c r="Q46" s="136"/>
      <c r="R46" s="176">
        <f t="shared" si="23"/>
        <v>1</v>
      </c>
      <c r="S46" s="184"/>
      <c r="T46" s="185">
        <f t="shared" si="28"/>
        <v>1</v>
      </c>
      <c r="U46" s="185"/>
      <c r="V46" s="186">
        <f t="shared" si="1"/>
        <v>0</v>
      </c>
      <c r="W46" s="183"/>
      <c r="X46" s="185">
        <f t="shared" si="20"/>
        <v>0</v>
      </c>
      <c r="Y46" s="185"/>
      <c r="Z46" s="185">
        <f t="shared" si="2"/>
        <v>0</v>
      </c>
      <c r="AA46" s="185"/>
      <c r="AB46" s="185">
        <f t="shared" si="3"/>
        <v>0</v>
      </c>
      <c r="AC46" s="185"/>
      <c r="AD46" s="185">
        <f t="shared" si="4"/>
        <v>0</v>
      </c>
      <c r="AE46" s="185"/>
      <c r="AF46" s="185">
        <f t="shared" si="5"/>
        <v>0</v>
      </c>
      <c r="AG46" s="185"/>
      <c r="AH46" s="185">
        <f t="shared" si="6"/>
        <v>0</v>
      </c>
      <c r="AI46" s="185"/>
      <c r="AJ46" s="185">
        <f t="shared" si="7"/>
        <v>0</v>
      </c>
      <c r="AK46" s="185"/>
      <c r="AL46" s="185">
        <f t="shared" si="8"/>
        <v>0</v>
      </c>
      <c r="AM46" s="185"/>
      <c r="AN46" s="185">
        <f t="shared" si="9"/>
        <v>0</v>
      </c>
      <c r="AO46" s="185"/>
      <c r="AP46" s="185">
        <f t="shared" si="10"/>
        <v>0</v>
      </c>
      <c r="AQ46" s="185"/>
      <c r="AR46" s="185">
        <f t="shared" si="11"/>
        <v>0</v>
      </c>
      <c r="AS46" s="185"/>
      <c r="AT46" s="185">
        <f t="shared" si="12"/>
        <v>0</v>
      </c>
      <c r="AU46" s="185"/>
      <c r="AV46" s="185">
        <f t="shared" si="13"/>
        <v>0</v>
      </c>
      <c r="AW46" s="185"/>
      <c r="AX46" s="185">
        <f t="shared" si="14"/>
        <v>0</v>
      </c>
      <c r="AY46" s="185"/>
      <c r="AZ46" s="185">
        <f t="shared" si="15"/>
        <v>0</v>
      </c>
    </row>
    <row r="47" spans="2:53" s="181" customFormat="1" x14ac:dyDescent="0.35">
      <c r="B47" s="168">
        <f t="shared" si="27"/>
        <v>37</v>
      </c>
      <c r="C47" s="169"/>
      <c r="D47" s="170">
        <v>1</v>
      </c>
      <c r="E47" s="171"/>
      <c r="F47" s="168" t="str">
        <f t="shared" si="21"/>
        <v>x</v>
      </c>
      <c r="G47" s="169"/>
      <c r="H47" s="169" t="s">
        <v>45</v>
      </c>
      <c r="I47" s="169"/>
      <c r="J47" s="168">
        <v>1</v>
      </c>
      <c r="K47" s="169">
        <v>23</v>
      </c>
      <c r="L47" s="168">
        <f t="shared" si="22"/>
        <v>1</v>
      </c>
      <c r="M47" s="169"/>
      <c r="N47" s="241">
        <f t="shared" si="16"/>
        <v>-1999</v>
      </c>
      <c r="O47" s="237">
        <f t="shared" si="25"/>
        <v>2023</v>
      </c>
      <c r="P47" s="234">
        <f t="shared" si="18"/>
        <v>24</v>
      </c>
      <c r="Q47" s="169"/>
      <c r="R47" s="172">
        <f t="shared" si="23"/>
        <v>1</v>
      </c>
      <c r="S47" s="173"/>
      <c r="T47" s="174">
        <f t="shared" si="28"/>
        <v>1</v>
      </c>
      <c r="U47" s="174"/>
      <c r="V47" s="175">
        <f t="shared" si="1"/>
        <v>0</v>
      </c>
      <c r="W47" s="171"/>
      <c r="X47" s="174">
        <f t="shared" si="20"/>
        <v>0</v>
      </c>
      <c r="Y47" s="174"/>
      <c r="Z47" s="174">
        <f t="shared" si="2"/>
        <v>0</v>
      </c>
      <c r="AA47" s="174"/>
      <c r="AB47" s="174">
        <f t="shared" si="3"/>
        <v>0</v>
      </c>
      <c r="AC47" s="174"/>
      <c r="AD47" s="174">
        <f t="shared" si="4"/>
        <v>0</v>
      </c>
      <c r="AE47" s="174"/>
      <c r="AF47" s="174">
        <f t="shared" si="5"/>
        <v>0</v>
      </c>
      <c r="AG47" s="174"/>
      <c r="AH47" s="174">
        <f t="shared" si="6"/>
        <v>0</v>
      </c>
      <c r="AI47" s="174"/>
      <c r="AJ47" s="174">
        <f t="shared" si="7"/>
        <v>0</v>
      </c>
      <c r="AK47" s="174"/>
      <c r="AL47" s="174">
        <f t="shared" si="8"/>
        <v>0</v>
      </c>
      <c r="AM47" s="174"/>
      <c r="AN47" s="174">
        <f t="shared" si="9"/>
        <v>0</v>
      </c>
      <c r="AO47" s="174"/>
      <c r="AP47" s="174">
        <f t="shared" si="10"/>
        <v>0</v>
      </c>
      <c r="AQ47" s="174"/>
      <c r="AR47" s="174">
        <f t="shared" si="11"/>
        <v>0</v>
      </c>
      <c r="AS47" s="174"/>
      <c r="AT47" s="174">
        <f t="shared" si="12"/>
        <v>0</v>
      </c>
      <c r="AU47" s="174"/>
      <c r="AV47" s="174">
        <f t="shared" si="13"/>
        <v>0</v>
      </c>
      <c r="AW47" s="174"/>
      <c r="AX47" s="174">
        <f t="shared" si="14"/>
        <v>0</v>
      </c>
      <c r="AY47" s="174"/>
      <c r="AZ47" s="174">
        <f t="shared" si="15"/>
        <v>0</v>
      </c>
    </row>
    <row r="48" spans="2:53" s="181" customFormat="1" x14ac:dyDescent="0.35">
      <c r="B48" s="168">
        <f t="shared" si="27"/>
        <v>38</v>
      </c>
      <c r="C48" s="169"/>
      <c r="D48" s="170">
        <v>1</v>
      </c>
      <c r="E48" s="171"/>
      <c r="F48" s="168" t="str">
        <f t="shared" si="21"/>
        <v>x</v>
      </c>
      <c r="G48" s="169"/>
      <c r="H48" s="169" t="s">
        <v>45</v>
      </c>
      <c r="I48" s="169"/>
      <c r="J48" s="168">
        <v>1</v>
      </c>
      <c r="K48" s="169">
        <v>23</v>
      </c>
      <c r="L48" s="168">
        <f t="shared" si="22"/>
        <v>1</v>
      </c>
      <c r="M48" s="169"/>
      <c r="N48" s="241">
        <f t="shared" si="16"/>
        <v>-1999</v>
      </c>
      <c r="O48" s="237">
        <f t="shared" si="25"/>
        <v>2023</v>
      </c>
      <c r="P48" s="234">
        <f t="shared" si="18"/>
        <v>24</v>
      </c>
      <c r="Q48" s="169"/>
      <c r="R48" s="172">
        <f t="shared" si="23"/>
        <v>1</v>
      </c>
      <c r="S48" s="173"/>
      <c r="T48" s="174">
        <f t="shared" si="28"/>
        <v>1</v>
      </c>
      <c r="U48" s="174"/>
      <c r="V48" s="175">
        <f t="shared" si="1"/>
        <v>0</v>
      </c>
      <c r="W48" s="171"/>
      <c r="X48" s="174">
        <f t="shared" si="20"/>
        <v>0</v>
      </c>
      <c r="Y48" s="174"/>
      <c r="Z48" s="174">
        <f t="shared" si="2"/>
        <v>0</v>
      </c>
      <c r="AA48" s="174"/>
      <c r="AB48" s="174">
        <f t="shared" si="3"/>
        <v>0</v>
      </c>
      <c r="AC48" s="174"/>
      <c r="AD48" s="174">
        <f t="shared" si="4"/>
        <v>0</v>
      </c>
      <c r="AE48" s="174"/>
      <c r="AF48" s="174">
        <f t="shared" si="5"/>
        <v>0</v>
      </c>
      <c r="AG48" s="174"/>
      <c r="AH48" s="174">
        <f t="shared" si="6"/>
        <v>0</v>
      </c>
      <c r="AI48" s="174"/>
      <c r="AJ48" s="174">
        <f t="shared" si="7"/>
        <v>0</v>
      </c>
      <c r="AK48" s="174"/>
      <c r="AL48" s="174">
        <f t="shared" si="8"/>
        <v>0</v>
      </c>
      <c r="AM48" s="174"/>
      <c r="AN48" s="174">
        <f t="shared" si="9"/>
        <v>0</v>
      </c>
      <c r="AO48" s="174"/>
      <c r="AP48" s="174">
        <f t="shared" si="10"/>
        <v>0</v>
      </c>
      <c r="AQ48" s="174"/>
      <c r="AR48" s="174">
        <f t="shared" si="11"/>
        <v>0</v>
      </c>
      <c r="AS48" s="174"/>
      <c r="AT48" s="174">
        <f t="shared" si="12"/>
        <v>0</v>
      </c>
      <c r="AU48" s="174"/>
      <c r="AV48" s="174">
        <f t="shared" si="13"/>
        <v>0</v>
      </c>
      <c r="AW48" s="174"/>
      <c r="AX48" s="174">
        <f t="shared" si="14"/>
        <v>0</v>
      </c>
      <c r="AY48" s="174"/>
      <c r="AZ48" s="174">
        <f t="shared" si="15"/>
        <v>0</v>
      </c>
    </row>
    <row r="49" spans="2:53" s="181" customFormat="1" x14ac:dyDescent="0.35">
      <c r="B49" s="168">
        <f t="shared" si="27"/>
        <v>39</v>
      </c>
      <c r="C49" s="169"/>
      <c r="D49" s="170">
        <v>1</v>
      </c>
      <c r="E49" s="171"/>
      <c r="F49" s="168" t="str">
        <f t="shared" si="21"/>
        <v>x</v>
      </c>
      <c r="G49" s="169"/>
      <c r="H49" s="169" t="s">
        <v>45</v>
      </c>
      <c r="I49" s="169"/>
      <c r="J49" s="168">
        <v>1</v>
      </c>
      <c r="K49" s="169">
        <v>23</v>
      </c>
      <c r="L49" s="168">
        <f t="shared" si="22"/>
        <v>1</v>
      </c>
      <c r="M49" s="169"/>
      <c r="N49" s="241">
        <f t="shared" si="16"/>
        <v>-1999</v>
      </c>
      <c r="O49" s="237">
        <f t="shared" si="25"/>
        <v>2023</v>
      </c>
      <c r="P49" s="234">
        <f t="shared" si="18"/>
        <v>24</v>
      </c>
      <c r="Q49" s="169"/>
      <c r="R49" s="172">
        <f t="shared" si="23"/>
        <v>1</v>
      </c>
      <c r="S49" s="173"/>
      <c r="T49" s="174">
        <f t="shared" si="28"/>
        <v>1</v>
      </c>
      <c r="U49" s="174"/>
      <c r="V49" s="175">
        <f t="shared" si="1"/>
        <v>0</v>
      </c>
      <c r="W49" s="171"/>
      <c r="X49" s="174">
        <f t="shared" si="20"/>
        <v>0</v>
      </c>
      <c r="Y49" s="174"/>
      <c r="Z49" s="174">
        <f t="shared" si="2"/>
        <v>0</v>
      </c>
      <c r="AA49" s="174"/>
      <c r="AB49" s="174">
        <f t="shared" si="3"/>
        <v>0</v>
      </c>
      <c r="AC49" s="174"/>
      <c r="AD49" s="174">
        <f t="shared" si="4"/>
        <v>0</v>
      </c>
      <c r="AE49" s="174"/>
      <c r="AF49" s="174">
        <f t="shared" si="5"/>
        <v>0</v>
      </c>
      <c r="AG49" s="174"/>
      <c r="AH49" s="174">
        <f t="shared" si="6"/>
        <v>0</v>
      </c>
      <c r="AI49" s="174"/>
      <c r="AJ49" s="174">
        <f t="shared" si="7"/>
        <v>0</v>
      </c>
      <c r="AK49" s="174"/>
      <c r="AL49" s="174">
        <f t="shared" si="8"/>
        <v>0</v>
      </c>
      <c r="AM49" s="174"/>
      <c r="AN49" s="174">
        <f t="shared" si="9"/>
        <v>0</v>
      </c>
      <c r="AO49" s="174"/>
      <c r="AP49" s="174">
        <f t="shared" si="10"/>
        <v>0</v>
      </c>
      <c r="AQ49" s="174"/>
      <c r="AR49" s="174">
        <f t="shared" si="11"/>
        <v>0</v>
      </c>
      <c r="AS49" s="174"/>
      <c r="AT49" s="174">
        <f t="shared" si="12"/>
        <v>0</v>
      </c>
      <c r="AU49" s="174"/>
      <c r="AV49" s="174">
        <f t="shared" si="13"/>
        <v>0</v>
      </c>
      <c r="AW49" s="174"/>
      <c r="AX49" s="174">
        <f t="shared" si="14"/>
        <v>0</v>
      </c>
      <c r="AY49" s="174"/>
      <c r="AZ49" s="174">
        <f t="shared" si="15"/>
        <v>0</v>
      </c>
    </row>
    <row r="50" spans="2:53" s="181" customFormat="1" x14ac:dyDescent="0.35">
      <c r="B50" s="180">
        <f t="shared" si="27"/>
        <v>40</v>
      </c>
      <c r="D50" s="182">
        <v>1</v>
      </c>
      <c r="E50" s="183"/>
      <c r="F50" s="135" t="str">
        <f t="shared" si="21"/>
        <v>x</v>
      </c>
      <c r="H50" s="181" t="s">
        <v>45</v>
      </c>
      <c r="J50" s="180">
        <v>1</v>
      </c>
      <c r="K50" s="136">
        <v>23</v>
      </c>
      <c r="L50" s="135">
        <f t="shared" si="22"/>
        <v>1</v>
      </c>
      <c r="M50" s="136"/>
      <c r="N50" s="279">
        <f t="shared" si="16"/>
        <v>-1999</v>
      </c>
      <c r="O50" s="238">
        <f t="shared" si="25"/>
        <v>2023</v>
      </c>
      <c r="P50" s="280">
        <f t="shared" si="18"/>
        <v>24</v>
      </c>
      <c r="Q50" s="136"/>
      <c r="R50" s="176">
        <f t="shared" si="23"/>
        <v>1</v>
      </c>
      <c r="S50" s="184"/>
      <c r="T50" s="185">
        <f t="shared" si="28"/>
        <v>1</v>
      </c>
      <c r="U50" s="185"/>
      <c r="V50" s="186">
        <f t="shared" si="1"/>
        <v>0</v>
      </c>
      <c r="W50" s="183"/>
      <c r="X50" s="185">
        <f t="shared" si="20"/>
        <v>0</v>
      </c>
      <c r="Y50" s="185"/>
      <c r="Z50" s="185">
        <f t="shared" si="2"/>
        <v>0</v>
      </c>
      <c r="AA50" s="185"/>
      <c r="AB50" s="185">
        <f t="shared" si="3"/>
        <v>0</v>
      </c>
      <c r="AC50" s="185"/>
      <c r="AD50" s="185">
        <f t="shared" si="4"/>
        <v>0</v>
      </c>
      <c r="AE50" s="185"/>
      <c r="AF50" s="185">
        <f t="shared" si="5"/>
        <v>0</v>
      </c>
      <c r="AG50" s="185"/>
      <c r="AH50" s="185">
        <f t="shared" si="6"/>
        <v>0</v>
      </c>
      <c r="AI50" s="185"/>
      <c r="AJ50" s="185">
        <f t="shared" si="7"/>
        <v>0</v>
      </c>
      <c r="AK50" s="185"/>
      <c r="AL50" s="185">
        <f t="shared" si="8"/>
        <v>0</v>
      </c>
      <c r="AM50" s="185"/>
      <c r="AN50" s="185">
        <f t="shared" si="9"/>
        <v>0</v>
      </c>
      <c r="AO50" s="185"/>
      <c r="AP50" s="185">
        <f t="shared" si="10"/>
        <v>0</v>
      </c>
      <c r="AQ50" s="185"/>
      <c r="AR50" s="185">
        <f t="shared" si="11"/>
        <v>0</v>
      </c>
      <c r="AS50" s="185"/>
      <c r="AT50" s="185">
        <f t="shared" si="12"/>
        <v>0</v>
      </c>
      <c r="AU50" s="185"/>
      <c r="AV50" s="185">
        <f t="shared" si="13"/>
        <v>0</v>
      </c>
      <c r="AW50" s="185"/>
      <c r="AX50" s="185">
        <f t="shared" si="14"/>
        <v>0</v>
      </c>
      <c r="AY50" s="185"/>
      <c r="AZ50" s="185">
        <f t="shared" si="15"/>
        <v>0</v>
      </c>
    </row>
    <row r="51" spans="2:53" ht="9.4" customHeight="1" x14ac:dyDescent="0.35">
      <c r="D51" s="137"/>
      <c r="P51" s="136"/>
      <c r="R51" s="189"/>
      <c r="S51" s="177"/>
      <c r="T51" s="190"/>
      <c r="U51" s="178"/>
      <c r="V51" s="190"/>
      <c r="W51" s="138"/>
      <c r="X51" s="190"/>
      <c r="Y51" s="178"/>
      <c r="Z51" s="190"/>
      <c r="AA51" s="178"/>
      <c r="AB51" s="190"/>
      <c r="AC51" s="178"/>
      <c r="AD51" s="190"/>
      <c r="AE51" s="178"/>
      <c r="AF51" s="190"/>
      <c r="AG51" s="178"/>
      <c r="AH51" s="190"/>
      <c r="AI51" s="178"/>
      <c r="AJ51" s="190"/>
      <c r="AK51" s="178"/>
      <c r="AL51" s="190"/>
      <c r="AM51" s="178"/>
      <c r="AN51" s="190"/>
      <c r="AO51" s="178"/>
      <c r="AP51" s="190"/>
      <c r="AQ51" s="178"/>
      <c r="AR51" s="190"/>
      <c r="AS51" s="178"/>
      <c r="AT51" s="190"/>
      <c r="AU51" s="178"/>
      <c r="AV51" s="190"/>
      <c r="AW51" s="178"/>
      <c r="AX51" s="190"/>
      <c r="AY51" s="178"/>
      <c r="AZ51" s="190"/>
    </row>
    <row r="52" spans="2:53" ht="24" thickBot="1" x14ac:dyDescent="0.4">
      <c r="D52" s="137"/>
      <c r="H52" s="141" t="s">
        <v>7</v>
      </c>
      <c r="R52" s="178"/>
      <c r="S52" s="178"/>
      <c r="T52" s="191">
        <f>SUM(T11:T50)</f>
        <v>40</v>
      </c>
      <c r="U52" s="178"/>
      <c r="V52" s="191">
        <f>SUM(V11:V50)</f>
        <v>0</v>
      </c>
      <c r="W52" s="138"/>
      <c r="X52" s="191">
        <f>SUM(X11:X50)</f>
        <v>0</v>
      </c>
      <c r="Y52" s="138"/>
      <c r="Z52" s="191">
        <f>SUM(Z11:Z50)</f>
        <v>0</v>
      </c>
      <c r="AA52" s="138"/>
      <c r="AB52" s="191">
        <f>SUM(AB11:AB50)</f>
        <v>0</v>
      </c>
      <c r="AC52" s="138"/>
      <c r="AD52" s="191">
        <f>SUM(AD11:AD50)</f>
        <v>0</v>
      </c>
      <c r="AE52" s="138"/>
      <c r="AF52" s="191">
        <f>SUM(AF11:AF50)</f>
        <v>0</v>
      </c>
      <c r="AG52" s="138"/>
      <c r="AH52" s="191">
        <f>SUM(AH11:AH50)</f>
        <v>0</v>
      </c>
      <c r="AI52" s="138"/>
      <c r="AJ52" s="191">
        <f>SUM(AJ11:AJ50)</f>
        <v>0</v>
      </c>
      <c r="AK52" s="138"/>
      <c r="AL52" s="191">
        <f>SUM(AL11:AL50)</f>
        <v>0</v>
      </c>
      <c r="AM52" s="138"/>
      <c r="AN52" s="191">
        <f>SUM(AN11:AN50)</f>
        <v>0</v>
      </c>
      <c r="AO52" s="138"/>
      <c r="AP52" s="191">
        <f>SUM(AP11:AP50)</f>
        <v>0</v>
      </c>
      <c r="AQ52" s="138"/>
      <c r="AR52" s="191">
        <f>SUM(AR11:AR50)</f>
        <v>0</v>
      </c>
      <c r="AS52" s="138"/>
      <c r="AT52" s="191">
        <f>SUM(AT11:AT50)</f>
        <v>0</v>
      </c>
      <c r="AU52" s="138"/>
      <c r="AV52" s="191">
        <f>SUM(AV11:AV50)</f>
        <v>0</v>
      </c>
      <c r="AW52" s="138"/>
      <c r="AX52" s="191">
        <f>SUM(AX11:AX50)</f>
        <v>0</v>
      </c>
      <c r="AY52" s="138"/>
      <c r="AZ52" s="191">
        <f>SUM(AZ11:AZ50)</f>
        <v>0</v>
      </c>
    </row>
    <row r="53" spans="2:53" ht="24" thickTop="1" x14ac:dyDescent="0.35">
      <c r="D53" s="137"/>
      <c r="H53" s="141"/>
      <c r="R53" s="178"/>
      <c r="S53" s="178"/>
      <c r="T53" s="192"/>
      <c r="U53" s="178"/>
      <c r="V53" s="192"/>
      <c r="W53" s="138"/>
      <c r="X53" s="192"/>
      <c r="Y53" s="138"/>
      <c r="Z53" s="192"/>
      <c r="AA53" s="138"/>
      <c r="AB53" s="192"/>
      <c r="AC53" s="138"/>
      <c r="AD53" s="192"/>
      <c r="AE53" s="138"/>
      <c r="AF53" s="192"/>
      <c r="AG53" s="138"/>
      <c r="AH53" s="192"/>
      <c r="AI53" s="138"/>
      <c r="AJ53" s="192"/>
      <c r="AK53" s="138"/>
      <c r="AL53" s="192"/>
      <c r="AM53" s="138"/>
      <c r="AN53" s="192"/>
      <c r="AO53" s="138"/>
      <c r="AP53" s="192"/>
      <c r="AQ53" s="138"/>
      <c r="AR53" s="192"/>
      <c r="AS53" s="138"/>
      <c r="AT53" s="192"/>
      <c r="AU53" s="138"/>
      <c r="AV53" s="192"/>
      <c r="AW53" s="138"/>
      <c r="AX53" s="192"/>
      <c r="AY53" s="138"/>
      <c r="AZ53" s="192"/>
    </row>
    <row r="54" spans="2:53" s="151" customFormat="1" x14ac:dyDescent="0.35">
      <c r="B54" s="193"/>
      <c r="C54" s="194"/>
      <c r="D54" s="195"/>
      <c r="E54" s="196"/>
      <c r="F54" s="193"/>
      <c r="G54" s="194"/>
      <c r="H54" s="194"/>
      <c r="I54" s="194"/>
      <c r="J54" s="193"/>
      <c r="K54" s="194"/>
      <c r="L54" s="193"/>
      <c r="M54" s="194"/>
      <c r="N54" s="193"/>
      <c r="O54" s="194"/>
      <c r="P54" s="197"/>
      <c r="Q54" s="194"/>
      <c r="R54" s="198"/>
      <c r="S54" s="194"/>
      <c r="T54" s="199"/>
      <c r="U54" s="200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1"/>
      <c r="AV54" s="201"/>
      <c r="AW54" s="201"/>
      <c r="AX54" s="201"/>
      <c r="AY54" s="201"/>
      <c r="AZ54" s="201"/>
      <c r="BA54" s="202"/>
    </row>
    <row r="55" spans="2:53" x14ac:dyDescent="0.35">
      <c r="B55" s="150"/>
      <c r="C55" s="151"/>
      <c r="D55" s="203"/>
      <c r="E55" s="179"/>
      <c r="F55" s="150"/>
      <c r="G55" s="151"/>
      <c r="H55" s="151"/>
      <c r="I55" s="151"/>
      <c r="J55" s="150"/>
      <c r="K55" s="151"/>
      <c r="L55" s="150"/>
      <c r="M55" s="151"/>
      <c r="N55" s="150"/>
      <c r="O55" s="151"/>
      <c r="P55" s="204"/>
      <c r="Q55" s="151"/>
      <c r="R55" s="205"/>
      <c r="S55" s="151"/>
      <c r="T55" s="206"/>
      <c r="U55" s="206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</row>
    <row r="56" spans="2:53" x14ac:dyDescent="0.35">
      <c r="B56" s="283" t="s">
        <v>0</v>
      </c>
      <c r="D56" s="137"/>
      <c r="I56" s="142"/>
      <c r="J56" s="142">
        <v>16</v>
      </c>
      <c r="K56" s="142"/>
      <c r="L56" s="142">
        <v>17</v>
      </c>
      <c r="M56" s="142"/>
      <c r="N56" s="142">
        <v>18</v>
      </c>
      <c r="O56" s="142"/>
      <c r="P56" s="142">
        <v>19</v>
      </c>
      <c r="Q56" s="142"/>
      <c r="R56" s="142">
        <v>20</v>
      </c>
      <c r="S56" s="142"/>
      <c r="T56" s="142">
        <f>+R56+1</f>
        <v>21</v>
      </c>
      <c r="U56" s="142"/>
      <c r="V56" s="142">
        <f>+T56+1</f>
        <v>22</v>
      </c>
      <c r="W56" s="142"/>
      <c r="X56" s="142">
        <f>+V56+1</f>
        <v>23</v>
      </c>
      <c r="Y56" s="142"/>
      <c r="Z56" s="142">
        <f>+X56+1</f>
        <v>24</v>
      </c>
      <c r="AA56" s="142"/>
      <c r="AB56" s="142">
        <f>+Z56+1</f>
        <v>25</v>
      </c>
      <c r="AD56" s="142">
        <f>+AB56+1</f>
        <v>26</v>
      </c>
      <c r="AF56" s="142">
        <f>+AD56+1</f>
        <v>27</v>
      </c>
      <c r="AH56" s="142">
        <f>+AF56+1</f>
        <v>28</v>
      </c>
      <c r="AJ56" s="142">
        <f>+AH56+1</f>
        <v>29</v>
      </c>
      <c r="AL56" s="142">
        <f>+AJ56+1</f>
        <v>30</v>
      </c>
    </row>
    <row r="57" spans="2:53" ht="27.75" customHeight="1" x14ac:dyDescent="0.35">
      <c r="B57" s="284"/>
      <c r="C57" s="155"/>
      <c r="D57" s="156" t="s">
        <v>30</v>
      </c>
      <c r="E57" s="157"/>
      <c r="F57" s="158" t="s">
        <v>1</v>
      </c>
      <c r="H57" s="158" t="s">
        <v>2</v>
      </c>
      <c r="I57" s="155"/>
      <c r="J57" s="158">
        <f>AZ7+1</f>
        <v>2039</v>
      </c>
      <c r="K57" s="158">
        <f>BA7+1</f>
        <v>1</v>
      </c>
      <c r="L57" s="158">
        <f t="shared" ref="L57:R57" si="29">J57+1</f>
        <v>2040</v>
      </c>
      <c r="M57" s="158">
        <f t="shared" si="29"/>
        <v>2</v>
      </c>
      <c r="N57" s="158">
        <f t="shared" si="29"/>
        <v>2041</v>
      </c>
      <c r="O57" s="158">
        <f t="shared" si="29"/>
        <v>3</v>
      </c>
      <c r="P57" s="158">
        <f t="shared" si="29"/>
        <v>2042</v>
      </c>
      <c r="Q57" s="158">
        <f t="shared" si="29"/>
        <v>4</v>
      </c>
      <c r="R57" s="158">
        <f t="shared" si="29"/>
        <v>2043</v>
      </c>
      <c r="S57" s="158"/>
      <c r="T57" s="158">
        <f>+R57+1</f>
        <v>2044</v>
      </c>
      <c r="U57" s="158">
        <f t="shared" ref="U57:AL57" si="30">S57+1</f>
        <v>1</v>
      </c>
      <c r="V57" s="158">
        <f t="shared" si="30"/>
        <v>2045</v>
      </c>
      <c r="W57" s="158">
        <f>U57+1</f>
        <v>2</v>
      </c>
      <c r="X57" s="158">
        <f>V57+1</f>
        <v>2046</v>
      </c>
      <c r="Y57" s="158">
        <f t="shared" si="30"/>
        <v>3</v>
      </c>
      <c r="Z57" s="158">
        <f t="shared" si="30"/>
        <v>2047</v>
      </c>
      <c r="AA57" s="158">
        <f t="shared" si="30"/>
        <v>4</v>
      </c>
      <c r="AB57" s="158">
        <f t="shared" si="30"/>
        <v>2048</v>
      </c>
      <c r="AD57" s="158">
        <f t="shared" si="30"/>
        <v>2049</v>
      </c>
      <c r="AF57" s="158">
        <f t="shared" si="30"/>
        <v>2050</v>
      </c>
      <c r="AH57" s="158">
        <f t="shared" si="30"/>
        <v>2051</v>
      </c>
      <c r="AJ57" s="158">
        <f t="shared" si="30"/>
        <v>2052</v>
      </c>
      <c r="AL57" s="158">
        <f t="shared" si="30"/>
        <v>2053</v>
      </c>
      <c r="AM57" s="155"/>
    </row>
    <row r="58" spans="2:53" ht="9.4" customHeight="1" x14ac:dyDescent="0.35">
      <c r="C58" s="155"/>
      <c r="D58" s="161"/>
      <c r="E58" s="157"/>
      <c r="F58" s="154"/>
      <c r="H58" s="154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M58" s="155"/>
    </row>
    <row r="59" spans="2:53" x14ac:dyDescent="0.35">
      <c r="D59" s="137"/>
      <c r="H59" s="144" t="str">
        <f>+H9</f>
        <v>Roofs</v>
      </c>
      <c r="K59" s="135"/>
      <c r="M59" s="135"/>
      <c r="O59" s="135"/>
      <c r="P59" s="135"/>
      <c r="Q59" s="135"/>
      <c r="R59" s="135"/>
      <c r="S59" s="137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</row>
    <row r="60" spans="2:53" ht="9.4" customHeight="1" x14ac:dyDescent="0.35">
      <c r="D60" s="137"/>
      <c r="H60" s="144"/>
      <c r="J60" s="167"/>
      <c r="K60" s="167"/>
      <c r="L60" s="167"/>
      <c r="M60" s="167"/>
      <c r="N60" s="167"/>
      <c r="O60" s="167"/>
      <c r="P60" s="167"/>
      <c r="Q60" s="167"/>
      <c r="R60" s="16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</row>
    <row r="61" spans="2:53" x14ac:dyDescent="0.35">
      <c r="B61" s="168">
        <f t="shared" ref="B61:B81" si="31">+B11</f>
        <v>1</v>
      </c>
      <c r="C61" s="169"/>
      <c r="D61" s="170">
        <f t="shared" ref="D61:D81" si="32">+D11</f>
        <v>1</v>
      </c>
      <c r="E61" s="171"/>
      <c r="F61" s="168" t="str">
        <f t="shared" ref="F61:F100" si="33">+F11</f>
        <v>x</v>
      </c>
      <c r="G61" s="169"/>
      <c r="H61" s="169" t="str">
        <f t="shared" ref="H61:H81" si="34">+H11</f>
        <v>x</v>
      </c>
      <c r="I61" s="169"/>
      <c r="J61" s="208">
        <f t="shared" ref="J61:J100" si="35">IF(J$56=$N11,FV($V$3,$N11-1,,-$T11,0),0)</f>
        <v>0</v>
      </c>
      <c r="K61" s="209"/>
      <c r="L61" s="208">
        <f t="shared" ref="L61:L100" si="36">IF(L$56=$N11,FV($V$3,$N11-1,,-$T11,0),0)</f>
        <v>0</v>
      </c>
      <c r="M61" s="209"/>
      <c r="N61" s="208">
        <f t="shared" ref="N61:N100" si="37">IF(N$56=$N11,FV($V$3,$N11-1,,-$T11,0),0)</f>
        <v>0</v>
      </c>
      <c r="O61" s="209"/>
      <c r="P61" s="208">
        <f t="shared" ref="P61:P100" si="38">IF(P$56=$N11,FV($V$3,$N11-1,,-$T11,0),0)</f>
        <v>0</v>
      </c>
      <c r="Q61" s="209"/>
      <c r="R61" s="208">
        <f t="shared" ref="R61:R100" si="39">IF(R$56=$N11,FV($V$3,$N11-1,,-$T11,0),0)</f>
        <v>0</v>
      </c>
      <c r="S61" s="209"/>
      <c r="T61" s="208">
        <f t="shared" ref="T61:T100" si="40">IF(T$56=$N11,FV($V$3,$N11-1,,-$T11,0),0)</f>
        <v>0</v>
      </c>
      <c r="U61" s="209"/>
      <c r="V61" s="208">
        <f t="shared" ref="V61:V100" si="41">IF(V$56=$N11,FV($V$3,$N11-1,,-$T11,0),0)</f>
        <v>0</v>
      </c>
      <c r="W61" s="209"/>
      <c r="X61" s="208">
        <f t="shared" ref="X61:X100" si="42">IF(X$56=$N11,FV($V$3,$N11-1,,-$T11,0),0)</f>
        <v>0</v>
      </c>
      <c r="Y61" s="209"/>
      <c r="Z61" s="208">
        <f t="shared" ref="Z61:Z100" si="43">IF(Z$56=$N11,FV($V$3,$N11-1,,-$T11,0),0)</f>
        <v>0</v>
      </c>
      <c r="AA61" s="209"/>
      <c r="AB61" s="208">
        <f t="shared" ref="AB61:AB100" si="44">IF(AB$56=$N11,FV($V$3,$N11-1,,-$T11,0),0)</f>
        <v>0</v>
      </c>
      <c r="AC61" s="209"/>
      <c r="AD61" s="208">
        <f t="shared" ref="AD61:AD100" si="45">IF(AD$56=$N11,FV($V$3,$N11-1,,-$T11,0),0)</f>
        <v>0</v>
      </c>
      <c r="AE61" s="209"/>
      <c r="AF61" s="208">
        <f t="shared" ref="AF61:AF100" si="46">IF(AF$56=$N11,FV($V$3,$N11-1,,-$T11,0),0)</f>
        <v>0</v>
      </c>
      <c r="AG61" s="209"/>
      <c r="AH61" s="208">
        <f t="shared" ref="AH61:AH100" si="47">IF(AH$56=$N11,FV($V$3,$N11-1,,-$T11,0),0)</f>
        <v>0</v>
      </c>
      <c r="AI61" s="209"/>
      <c r="AJ61" s="208">
        <f t="shared" ref="AJ61:AJ100" si="48">IF(AJ$56=$N11,FV($V$3,$N11-1,,-$T11,0),0)</f>
        <v>0</v>
      </c>
      <c r="AK61" s="209"/>
      <c r="AL61" s="208">
        <f t="shared" ref="AL61:AL100" si="49">IF(AL$56=$N11,FV($V$3,$N11-1,,-$T11,0),0)</f>
        <v>0</v>
      </c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</row>
    <row r="62" spans="2:53" x14ac:dyDescent="0.35">
      <c r="B62" s="168">
        <f t="shared" si="31"/>
        <v>2</v>
      </c>
      <c r="C62" s="169"/>
      <c r="D62" s="168">
        <f t="shared" si="32"/>
        <v>1</v>
      </c>
      <c r="E62" s="171"/>
      <c r="F62" s="168" t="str">
        <f t="shared" si="33"/>
        <v>x</v>
      </c>
      <c r="G62" s="169"/>
      <c r="H62" s="169" t="str">
        <f t="shared" si="34"/>
        <v>x</v>
      </c>
      <c r="I62" s="169"/>
      <c r="J62" s="208">
        <f t="shared" si="35"/>
        <v>0</v>
      </c>
      <c r="K62" s="208"/>
      <c r="L62" s="208">
        <f t="shared" si="36"/>
        <v>0</v>
      </c>
      <c r="M62" s="208"/>
      <c r="N62" s="208">
        <f t="shared" si="37"/>
        <v>0</v>
      </c>
      <c r="O62" s="208"/>
      <c r="P62" s="208">
        <f t="shared" si="38"/>
        <v>0</v>
      </c>
      <c r="Q62" s="208"/>
      <c r="R62" s="208">
        <f t="shared" si="39"/>
        <v>0</v>
      </c>
      <c r="S62" s="208"/>
      <c r="T62" s="208">
        <f t="shared" si="40"/>
        <v>0</v>
      </c>
      <c r="U62" s="208"/>
      <c r="V62" s="208">
        <f t="shared" si="41"/>
        <v>0</v>
      </c>
      <c r="W62" s="208"/>
      <c r="X62" s="208">
        <f t="shared" si="42"/>
        <v>0</v>
      </c>
      <c r="Y62" s="208"/>
      <c r="Z62" s="208">
        <f t="shared" si="43"/>
        <v>0</v>
      </c>
      <c r="AA62" s="208"/>
      <c r="AB62" s="208">
        <f t="shared" si="44"/>
        <v>0</v>
      </c>
      <c r="AC62" s="208"/>
      <c r="AD62" s="208">
        <f t="shared" si="45"/>
        <v>0</v>
      </c>
      <c r="AE62" s="208"/>
      <c r="AF62" s="208">
        <f t="shared" si="46"/>
        <v>0</v>
      </c>
      <c r="AG62" s="208"/>
      <c r="AH62" s="208">
        <f t="shared" si="47"/>
        <v>0</v>
      </c>
      <c r="AI62" s="208"/>
      <c r="AJ62" s="208">
        <f t="shared" si="48"/>
        <v>0</v>
      </c>
      <c r="AK62" s="208"/>
      <c r="AL62" s="208">
        <f t="shared" si="49"/>
        <v>0</v>
      </c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</row>
    <row r="63" spans="2:53" x14ac:dyDescent="0.35">
      <c r="B63" s="168">
        <f t="shared" si="31"/>
        <v>3</v>
      </c>
      <c r="C63" s="169"/>
      <c r="D63" s="168">
        <f t="shared" si="32"/>
        <v>1</v>
      </c>
      <c r="E63" s="171"/>
      <c r="F63" s="168" t="str">
        <f t="shared" si="33"/>
        <v>x</v>
      </c>
      <c r="G63" s="169"/>
      <c r="H63" s="169" t="str">
        <f t="shared" si="34"/>
        <v>x</v>
      </c>
      <c r="I63" s="169"/>
      <c r="J63" s="208">
        <f t="shared" si="35"/>
        <v>0</v>
      </c>
      <c r="K63" s="208"/>
      <c r="L63" s="208">
        <f t="shared" si="36"/>
        <v>0</v>
      </c>
      <c r="M63" s="208"/>
      <c r="N63" s="208">
        <f t="shared" si="37"/>
        <v>0</v>
      </c>
      <c r="O63" s="208"/>
      <c r="P63" s="208">
        <f t="shared" si="38"/>
        <v>0</v>
      </c>
      <c r="Q63" s="208"/>
      <c r="R63" s="208">
        <f t="shared" si="39"/>
        <v>0</v>
      </c>
      <c r="S63" s="208"/>
      <c r="T63" s="208">
        <f t="shared" si="40"/>
        <v>0</v>
      </c>
      <c r="U63" s="208"/>
      <c r="V63" s="208">
        <f t="shared" si="41"/>
        <v>0</v>
      </c>
      <c r="W63" s="208"/>
      <c r="X63" s="208">
        <f t="shared" si="42"/>
        <v>0</v>
      </c>
      <c r="Y63" s="208"/>
      <c r="Z63" s="208">
        <f t="shared" si="43"/>
        <v>0</v>
      </c>
      <c r="AA63" s="208"/>
      <c r="AB63" s="208">
        <f t="shared" si="44"/>
        <v>0</v>
      </c>
      <c r="AC63" s="208"/>
      <c r="AD63" s="208">
        <f t="shared" si="45"/>
        <v>0</v>
      </c>
      <c r="AE63" s="208"/>
      <c r="AF63" s="208">
        <f t="shared" si="46"/>
        <v>0</v>
      </c>
      <c r="AG63" s="208"/>
      <c r="AH63" s="208">
        <f t="shared" si="47"/>
        <v>0</v>
      </c>
      <c r="AI63" s="208"/>
      <c r="AJ63" s="208">
        <f t="shared" si="48"/>
        <v>0</v>
      </c>
      <c r="AK63" s="208"/>
      <c r="AL63" s="208">
        <f t="shared" si="49"/>
        <v>0</v>
      </c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</row>
    <row r="64" spans="2:53" x14ac:dyDescent="0.35">
      <c r="B64" s="135">
        <f t="shared" si="31"/>
        <v>4</v>
      </c>
      <c r="D64" s="135">
        <f t="shared" si="32"/>
        <v>1</v>
      </c>
      <c r="F64" s="135" t="str">
        <f t="shared" si="33"/>
        <v>x</v>
      </c>
      <c r="H64" s="136" t="str">
        <f t="shared" si="34"/>
        <v>x</v>
      </c>
      <c r="J64" s="210">
        <f t="shared" si="35"/>
        <v>0</v>
      </c>
      <c r="K64" s="210"/>
      <c r="L64" s="210">
        <f t="shared" si="36"/>
        <v>0</v>
      </c>
      <c r="M64" s="210"/>
      <c r="N64" s="210">
        <f t="shared" si="37"/>
        <v>0</v>
      </c>
      <c r="O64" s="210"/>
      <c r="P64" s="210">
        <f t="shared" si="38"/>
        <v>0</v>
      </c>
      <c r="Q64" s="210"/>
      <c r="R64" s="210">
        <f t="shared" si="39"/>
        <v>0</v>
      </c>
      <c r="S64" s="210"/>
      <c r="T64" s="210">
        <f t="shared" si="40"/>
        <v>0</v>
      </c>
      <c r="U64" s="210"/>
      <c r="V64" s="210">
        <f t="shared" si="41"/>
        <v>0</v>
      </c>
      <c r="W64" s="210"/>
      <c r="X64" s="210">
        <f t="shared" si="42"/>
        <v>0</v>
      </c>
      <c r="Y64" s="210"/>
      <c r="Z64" s="210">
        <f t="shared" si="43"/>
        <v>0</v>
      </c>
      <c r="AA64" s="210"/>
      <c r="AB64" s="210">
        <f t="shared" si="44"/>
        <v>0</v>
      </c>
      <c r="AC64" s="210"/>
      <c r="AD64" s="210">
        <f t="shared" si="45"/>
        <v>0</v>
      </c>
      <c r="AE64" s="210"/>
      <c r="AF64" s="210">
        <f t="shared" si="46"/>
        <v>0</v>
      </c>
      <c r="AG64" s="210"/>
      <c r="AH64" s="210">
        <f t="shared" si="47"/>
        <v>0</v>
      </c>
      <c r="AI64" s="210"/>
      <c r="AJ64" s="210">
        <f t="shared" si="48"/>
        <v>0</v>
      </c>
      <c r="AK64" s="210"/>
      <c r="AL64" s="210">
        <f t="shared" si="49"/>
        <v>0</v>
      </c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</row>
    <row r="65" spans="2:53" x14ac:dyDescent="0.35">
      <c r="B65" s="135">
        <f t="shared" si="31"/>
        <v>5</v>
      </c>
      <c r="D65" s="135">
        <f t="shared" si="32"/>
        <v>1</v>
      </c>
      <c r="F65" s="135" t="str">
        <f t="shared" si="33"/>
        <v>x</v>
      </c>
      <c r="H65" s="136" t="str">
        <f t="shared" si="34"/>
        <v>x</v>
      </c>
      <c r="J65" s="210">
        <f t="shared" si="35"/>
        <v>0</v>
      </c>
      <c r="K65" s="210"/>
      <c r="L65" s="210">
        <f t="shared" si="36"/>
        <v>0</v>
      </c>
      <c r="M65" s="210"/>
      <c r="N65" s="210">
        <f t="shared" si="37"/>
        <v>0</v>
      </c>
      <c r="O65" s="210"/>
      <c r="P65" s="210">
        <f t="shared" si="38"/>
        <v>0</v>
      </c>
      <c r="Q65" s="210"/>
      <c r="R65" s="210">
        <f t="shared" si="39"/>
        <v>0</v>
      </c>
      <c r="S65" s="210"/>
      <c r="T65" s="210">
        <f t="shared" si="40"/>
        <v>0</v>
      </c>
      <c r="U65" s="210"/>
      <c r="V65" s="210">
        <f t="shared" si="41"/>
        <v>0</v>
      </c>
      <c r="W65" s="210"/>
      <c r="X65" s="210">
        <f t="shared" si="42"/>
        <v>0</v>
      </c>
      <c r="Y65" s="210"/>
      <c r="Z65" s="210">
        <f t="shared" si="43"/>
        <v>0</v>
      </c>
      <c r="AA65" s="210"/>
      <c r="AB65" s="210">
        <f t="shared" si="44"/>
        <v>0</v>
      </c>
      <c r="AC65" s="210"/>
      <c r="AD65" s="210">
        <f t="shared" si="45"/>
        <v>0</v>
      </c>
      <c r="AE65" s="210"/>
      <c r="AF65" s="210">
        <f t="shared" si="46"/>
        <v>0</v>
      </c>
      <c r="AG65" s="210"/>
      <c r="AH65" s="210">
        <f t="shared" si="47"/>
        <v>0</v>
      </c>
      <c r="AI65" s="210"/>
      <c r="AJ65" s="210">
        <f t="shared" si="48"/>
        <v>0</v>
      </c>
      <c r="AK65" s="210"/>
      <c r="AL65" s="210">
        <f t="shared" si="49"/>
        <v>0</v>
      </c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</row>
    <row r="66" spans="2:53" x14ac:dyDescent="0.35">
      <c r="B66" s="135">
        <f t="shared" si="31"/>
        <v>6</v>
      </c>
      <c r="D66" s="135">
        <f t="shared" si="32"/>
        <v>1</v>
      </c>
      <c r="F66" s="135" t="str">
        <f t="shared" si="33"/>
        <v>x</v>
      </c>
      <c r="H66" s="211" t="str">
        <f t="shared" si="34"/>
        <v>x</v>
      </c>
      <c r="J66" s="210">
        <f t="shared" si="35"/>
        <v>0</v>
      </c>
      <c r="K66" s="210"/>
      <c r="L66" s="210">
        <f t="shared" si="36"/>
        <v>0</v>
      </c>
      <c r="M66" s="210"/>
      <c r="N66" s="210">
        <f t="shared" si="37"/>
        <v>0</v>
      </c>
      <c r="O66" s="210"/>
      <c r="P66" s="210">
        <f t="shared" si="38"/>
        <v>0</v>
      </c>
      <c r="Q66" s="210"/>
      <c r="R66" s="210">
        <f t="shared" si="39"/>
        <v>0</v>
      </c>
      <c r="S66" s="210"/>
      <c r="T66" s="210">
        <f t="shared" si="40"/>
        <v>0</v>
      </c>
      <c r="U66" s="210"/>
      <c r="V66" s="210">
        <f t="shared" si="41"/>
        <v>0</v>
      </c>
      <c r="W66" s="210"/>
      <c r="X66" s="210">
        <f t="shared" si="42"/>
        <v>0</v>
      </c>
      <c r="Y66" s="210"/>
      <c r="Z66" s="210">
        <f t="shared" si="43"/>
        <v>0</v>
      </c>
      <c r="AA66" s="210"/>
      <c r="AB66" s="210">
        <f t="shared" si="44"/>
        <v>0</v>
      </c>
      <c r="AC66" s="210"/>
      <c r="AD66" s="210">
        <f t="shared" si="45"/>
        <v>0</v>
      </c>
      <c r="AE66" s="210"/>
      <c r="AF66" s="210">
        <f t="shared" si="46"/>
        <v>0</v>
      </c>
      <c r="AG66" s="210"/>
      <c r="AH66" s="210">
        <f t="shared" si="47"/>
        <v>0</v>
      </c>
      <c r="AI66" s="210"/>
      <c r="AJ66" s="210">
        <f t="shared" si="48"/>
        <v>0</v>
      </c>
      <c r="AK66" s="210"/>
      <c r="AL66" s="210">
        <f t="shared" si="49"/>
        <v>0</v>
      </c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</row>
    <row r="67" spans="2:53" x14ac:dyDescent="0.35">
      <c r="B67" s="168">
        <f t="shared" si="31"/>
        <v>7</v>
      </c>
      <c r="C67" s="169"/>
      <c r="D67" s="168">
        <f t="shared" si="32"/>
        <v>1</v>
      </c>
      <c r="E67" s="171"/>
      <c r="F67" s="168" t="str">
        <f t="shared" si="33"/>
        <v>x</v>
      </c>
      <c r="G67" s="169"/>
      <c r="H67" s="212" t="str">
        <f t="shared" si="34"/>
        <v>x</v>
      </c>
      <c r="I67" s="169"/>
      <c r="J67" s="208">
        <f t="shared" si="35"/>
        <v>0</v>
      </c>
      <c r="K67" s="208"/>
      <c r="L67" s="208">
        <f t="shared" si="36"/>
        <v>0</v>
      </c>
      <c r="M67" s="208"/>
      <c r="N67" s="208">
        <f t="shared" si="37"/>
        <v>0</v>
      </c>
      <c r="O67" s="208"/>
      <c r="P67" s="208">
        <f t="shared" si="38"/>
        <v>0</v>
      </c>
      <c r="Q67" s="208"/>
      <c r="R67" s="208">
        <f t="shared" si="39"/>
        <v>0</v>
      </c>
      <c r="S67" s="208"/>
      <c r="T67" s="208">
        <f t="shared" si="40"/>
        <v>0</v>
      </c>
      <c r="U67" s="208"/>
      <c r="V67" s="208">
        <f t="shared" si="41"/>
        <v>0</v>
      </c>
      <c r="W67" s="208"/>
      <c r="X67" s="208">
        <f t="shared" si="42"/>
        <v>0</v>
      </c>
      <c r="Y67" s="208"/>
      <c r="Z67" s="208">
        <f t="shared" si="43"/>
        <v>0</v>
      </c>
      <c r="AA67" s="208"/>
      <c r="AB67" s="208">
        <f t="shared" si="44"/>
        <v>0</v>
      </c>
      <c r="AC67" s="208"/>
      <c r="AD67" s="208">
        <f t="shared" si="45"/>
        <v>0</v>
      </c>
      <c r="AE67" s="208"/>
      <c r="AF67" s="208">
        <f t="shared" si="46"/>
        <v>0</v>
      </c>
      <c r="AG67" s="208"/>
      <c r="AH67" s="208">
        <f t="shared" si="47"/>
        <v>0</v>
      </c>
      <c r="AI67" s="208"/>
      <c r="AJ67" s="208">
        <f t="shared" si="48"/>
        <v>0</v>
      </c>
      <c r="AK67" s="208"/>
      <c r="AL67" s="208">
        <f t="shared" si="49"/>
        <v>0</v>
      </c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</row>
    <row r="68" spans="2:53" x14ac:dyDescent="0.35">
      <c r="B68" s="168">
        <f t="shared" si="31"/>
        <v>8</v>
      </c>
      <c r="C68" s="169"/>
      <c r="D68" s="168">
        <f t="shared" si="32"/>
        <v>1</v>
      </c>
      <c r="E68" s="171"/>
      <c r="F68" s="168" t="str">
        <f t="shared" si="33"/>
        <v>x</v>
      </c>
      <c r="G68" s="169"/>
      <c r="H68" s="169" t="str">
        <f t="shared" si="34"/>
        <v>x</v>
      </c>
      <c r="I68" s="169"/>
      <c r="J68" s="208">
        <f t="shared" si="35"/>
        <v>0</v>
      </c>
      <c r="K68" s="208"/>
      <c r="L68" s="208">
        <f t="shared" si="36"/>
        <v>0</v>
      </c>
      <c r="M68" s="208"/>
      <c r="N68" s="208">
        <f t="shared" si="37"/>
        <v>0</v>
      </c>
      <c r="O68" s="208"/>
      <c r="P68" s="208">
        <f t="shared" si="38"/>
        <v>0</v>
      </c>
      <c r="Q68" s="208"/>
      <c r="R68" s="208">
        <f t="shared" si="39"/>
        <v>0</v>
      </c>
      <c r="S68" s="208"/>
      <c r="T68" s="208">
        <f t="shared" si="40"/>
        <v>0</v>
      </c>
      <c r="U68" s="208"/>
      <c r="V68" s="208">
        <f t="shared" si="41"/>
        <v>0</v>
      </c>
      <c r="W68" s="208"/>
      <c r="X68" s="208">
        <f t="shared" si="42"/>
        <v>0</v>
      </c>
      <c r="Y68" s="208"/>
      <c r="Z68" s="208">
        <f t="shared" si="43"/>
        <v>0</v>
      </c>
      <c r="AA68" s="208"/>
      <c r="AB68" s="208">
        <f t="shared" si="44"/>
        <v>0</v>
      </c>
      <c r="AC68" s="208"/>
      <c r="AD68" s="208">
        <f t="shared" si="45"/>
        <v>0</v>
      </c>
      <c r="AE68" s="208"/>
      <c r="AF68" s="208">
        <f t="shared" si="46"/>
        <v>0</v>
      </c>
      <c r="AG68" s="208"/>
      <c r="AH68" s="208">
        <f t="shared" si="47"/>
        <v>0</v>
      </c>
      <c r="AI68" s="208"/>
      <c r="AJ68" s="208">
        <f t="shared" si="48"/>
        <v>0</v>
      </c>
      <c r="AK68" s="208"/>
      <c r="AL68" s="208">
        <f t="shared" si="49"/>
        <v>0</v>
      </c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</row>
    <row r="69" spans="2:53" x14ac:dyDescent="0.35">
      <c r="B69" s="168">
        <f t="shared" si="31"/>
        <v>9</v>
      </c>
      <c r="C69" s="169"/>
      <c r="D69" s="168">
        <f t="shared" si="32"/>
        <v>1</v>
      </c>
      <c r="E69" s="171"/>
      <c r="F69" s="168" t="str">
        <f t="shared" si="33"/>
        <v>x</v>
      </c>
      <c r="G69" s="169"/>
      <c r="H69" s="169" t="str">
        <f t="shared" si="34"/>
        <v>x</v>
      </c>
      <c r="I69" s="169"/>
      <c r="J69" s="208">
        <f t="shared" si="35"/>
        <v>0</v>
      </c>
      <c r="K69" s="208"/>
      <c r="L69" s="208">
        <f t="shared" si="36"/>
        <v>0</v>
      </c>
      <c r="M69" s="208"/>
      <c r="N69" s="208">
        <f t="shared" si="37"/>
        <v>0</v>
      </c>
      <c r="O69" s="208"/>
      <c r="P69" s="208">
        <f t="shared" si="38"/>
        <v>0</v>
      </c>
      <c r="Q69" s="208"/>
      <c r="R69" s="208">
        <f t="shared" si="39"/>
        <v>0</v>
      </c>
      <c r="S69" s="208"/>
      <c r="T69" s="208">
        <f t="shared" si="40"/>
        <v>0</v>
      </c>
      <c r="U69" s="208"/>
      <c r="V69" s="208">
        <f t="shared" si="41"/>
        <v>0</v>
      </c>
      <c r="W69" s="208"/>
      <c r="X69" s="208">
        <f t="shared" si="42"/>
        <v>0</v>
      </c>
      <c r="Y69" s="208"/>
      <c r="Z69" s="208">
        <f t="shared" si="43"/>
        <v>0</v>
      </c>
      <c r="AA69" s="208"/>
      <c r="AB69" s="208">
        <f t="shared" si="44"/>
        <v>0</v>
      </c>
      <c r="AC69" s="208"/>
      <c r="AD69" s="208">
        <f t="shared" si="45"/>
        <v>0</v>
      </c>
      <c r="AE69" s="208"/>
      <c r="AF69" s="208">
        <f t="shared" si="46"/>
        <v>0</v>
      </c>
      <c r="AG69" s="208"/>
      <c r="AH69" s="208">
        <f t="shared" si="47"/>
        <v>0</v>
      </c>
      <c r="AI69" s="208"/>
      <c r="AJ69" s="208">
        <f t="shared" si="48"/>
        <v>0</v>
      </c>
      <c r="AK69" s="208"/>
      <c r="AL69" s="208">
        <f t="shared" si="49"/>
        <v>0</v>
      </c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</row>
    <row r="70" spans="2:53" s="181" customFormat="1" x14ac:dyDescent="0.35">
      <c r="B70" s="180">
        <f t="shared" si="31"/>
        <v>10</v>
      </c>
      <c r="D70" s="180">
        <f t="shared" si="32"/>
        <v>1</v>
      </c>
      <c r="E70" s="183"/>
      <c r="F70" s="135" t="str">
        <f t="shared" si="33"/>
        <v>x</v>
      </c>
      <c r="H70" s="181" t="str">
        <f t="shared" si="34"/>
        <v>x</v>
      </c>
      <c r="J70" s="213">
        <f t="shared" si="35"/>
        <v>0</v>
      </c>
      <c r="K70" s="213"/>
      <c r="L70" s="213">
        <f t="shared" si="36"/>
        <v>0</v>
      </c>
      <c r="M70" s="213"/>
      <c r="N70" s="213">
        <f t="shared" si="37"/>
        <v>0</v>
      </c>
      <c r="O70" s="213"/>
      <c r="P70" s="213">
        <f t="shared" si="38"/>
        <v>0</v>
      </c>
      <c r="Q70" s="213"/>
      <c r="R70" s="213">
        <f t="shared" si="39"/>
        <v>0</v>
      </c>
      <c r="S70" s="213"/>
      <c r="T70" s="213">
        <f t="shared" si="40"/>
        <v>0</v>
      </c>
      <c r="U70" s="213"/>
      <c r="V70" s="213">
        <f t="shared" si="41"/>
        <v>0</v>
      </c>
      <c r="W70" s="213"/>
      <c r="X70" s="213">
        <f t="shared" si="42"/>
        <v>0</v>
      </c>
      <c r="Y70" s="213"/>
      <c r="Z70" s="213">
        <f t="shared" si="43"/>
        <v>0</v>
      </c>
      <c r="AA70" s="213"/>
      <c r="AB70" s="213">
        <f t="shared" si="44"/>
        <v>0</v>
      </c>
      <c r="AC70" s="213"/>
      <c r="AD70" s="213">
        <f t="shared" si="45"/>
        <v>0</v>
      </c>
      <c r="AE70" s="213"/>
      <c r="AF70" s="213">
        <f t="shared" si="46"/>
        <v>0</v>
      </c>
      <c r="AG70" s="213"/>
      <c r="AH70" s="213">
        <f t="shared" si="47"/>
        <v>0</v>
      </c>
      <c r="AI70" s="213"/>
      <c r="AJ70" s="213">
        <f t="shared" si="48"/>
        <v>0</v>
      </c>
      <c r="AK70" s="213"/>
      <c r="AL70" s="213">
        <f t="shared" si="49"/>
        <v>0</v>
      </c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</row>
    <row r="71" spans="2:53" s="181" customFormat="1" x14ac:dyDescent="0.35">
      <c r="B71" s="180">
        <f t="shared" si="31"/>
        <v>11</v>
      </c>
      <c r="D71" s="180">
        <f t="shared" si="32"/>
        <v>1</v>
      </c>
      <c r="E71" s="183"/>
      <c r="F71" s="135" t="str">
        <f t="shared" si="33"/>
        <v>x</v>
      </c>
      <c r="H71" s="181" t="str">
        <f t="shared" si="34"/>
        <v>x</v>
      </c>
      <c r="J71" s="213">
        <f t="shared" si="35"/>
        <v>0</v>
      </c>
      <c r="K71" s="213"/>
      <c r="L71" s="213">
        <f t="shared" si="36"/>
        <v>0</v>
      </c>
      <c r="M71" s="213"/>
      <c r="N71" s="213">
        <f t="shared" si="37"/>
        <v>0</v>
      </c>
      <c r="O71" s="213"/>
      <c r="P71" s="213">
        <f t="shared" si="38"/>
        <v>0</v>
      </c>
      <c r="Q71" s="213"/>
      <c r="R71" s="213">
        <f t="shared" si="39"/>
        <v>0</v>
      </c>
      <c r="S71" s="213"/>
      <c r="T71" s="213">
        <f t="shared" si="40"/>
        <v>0</v>
      </c>
      <c r="U71" s="213"/>
      <c r="V71" s="213">
        <f t="shared" si="41"/>
        <v>0</v>
      </c>
      <c r="W71" s="213"/>
      <c r="X71" s="213">
        <f t="shared" si="42"/>
        <v>0</v>
      </c>
      <c r="Y71" s="213"/>
      <c r="Z71" s="213">
        <f t="shared" si="43"/>
        <v>0</v>
      </c>
      <c r="AA71" s="213"/>
      <c r="AB71" s="213">
        <f t="shared" si="44"/>
        <v>0</v>
      </c>
      <c r="AC71" s="213"/>
      <c r="AD71" s="213">
        <f t="shared" si="45"/>
        <v>0</v>
      </c>
      <c r="AE71" s="213"/>
      <c r="AF71" s="213">
        <f t="shared" si="46"/>
        <v>0</v>
      </c>
      <c r="AG71" s="213"/>
      <c r="AH71" s="213">
        <f t="shared" si="47"/>
        <v>0</v>
      </c>
      <c r="AI71" s="213"/>
      <c r="AJ71" s="213">
        <f t="shared" si="48"/>
        <v>0</v>
      </c>
      <c r="AK71" s="213"/>
      <c r="AL71" s="213">
        <f t="shared" si="49"/>
        <v>0</v>
      </c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</row>
    <row r="72" spans="2:53" s="181" customFormat="1" x14ac:dyDescent="0.35">
      <c r="B72" s="180">
        <f t="shared" si="31"/>
        <v>12</v>
      </c>
      <c r="D72" s="180">
        <f t="shared" si="32"/>
        <v>1</v>
      </c>
      <c r="E72" s="183"/>
      <c r="F72" s="135" t="str">
        <f t="shared" si="33"/>
        <v>x</v>
      </c>
      <c r="H72" s="181" t="str">
        <f t="shared" si="34"/>
        <v>x</v>
      </c>
      <c r="J72" s="213">
        <f t="shared" si="35"/>
        <v>0</v>
      </c>
      <c r="K72" s="213"/>
      <c r="L72" s="213">
        <f t="shared" si="36"/>
        <v>0</v>
      </c>
      <c r="M72" s="213"/>
      <c r="N72" s="213">
        <f t="shared" si="37"/>
        <v>0</v>
      </c>
      <c r="O72" s="213"/>
      <c r="P72" s="213">
        <f t="shared" si="38"/>
        <v>0</v>
      </c>
      <c r="Q72" s="213"/>
      <c r="R72" s="213">
        <f t="shared" si="39"/>
        <v>0</v>
      </c>
      <c r="S72" s="213"/>
      <c r="T72" s="213">
        <f t="shared" si="40"/>
        <v>0</v>
      </c>
      <c r="U72" s="213"/>
      <c r="V72" s="213">
        <f t="shared" si="41"/>
        <v>0</v>
      </c>
      <c r="W72" s="213"/>
      <c r="X72" s="213">
        <f t="shared" si="42"/>
        <v>0</v>
      </c>
      <c r="Y72" s="213"/>
      <c r="Z72" s="213">
        <f t="shared" si="43"/>
        <v>0</v>
      </c>
      <c r="AA72" s="213"/>
      <c r="AB72" s="213">
        <f t="shared" si="44"/>
        <v>0</v>
      </c>
      <c r="AC72" s="213"/>
      <c r="AD72" s="213">
        <f t="shared" si="45"/>
        <v>0</v>
      </c>
      <c r="AE72" s="213"/>
      <c r="AF72" s="213">
        <f t="shared" si="46"/>
        <v>0</v>
      </c>
      <c r="AG72" s="213"/>
      <c r="AH72" s="213">
        <f t="shared" si="47"/>
        <v>0</v>
      </c>
      <c r="AI72" s="213"/>
      <c r="AJ72" s="213">
        <f t="shared" si="48"/>
        <v>0</v>
      </c>
      <c r="AK72" s="213"/>
      <c r="AL72" s="213">
        <f t="shared" si="49"/>
        <v>0</v>
      </c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</row>
    <row r="73" spans="2:53" x14ac:dyDescent="0.35">
      <c r="B73" s="168">
        <f t="shared" si="31"/>
        <v>13</v>
      </c>
      <c r="C73" s="169"/>
      <c r="D73" s="168">
        <f t="shared" si="32"/>
        <v>1</v>
      </c>
      <c r="E73" s="171"/>
      <c r="F73" s="168" t="str">
        <f t="shared" si="33"/>
        <v>x</v>
      </c>
      <c r="G73" s="169"/>
      <c r="H73" s="169" t="str">
        <f t="shared" si="34"/>
        <v>x</v>
      </c>
      <c r="I73" s="169"/>
      <c r="J73" s="208">
        <f t="shared" si="35"/>
        <v>0</v>
      </c>
      <c r="K73" s="208"/>
      <c r="L73" s="208">
        <f t="shared" si="36"/>
        <v>0</v>
      </c>
      <c r="M73" s="208"/>
      <c r="N73" s="208">
        <f t="shared" si="37"/>
        <v>0</v>
      </c>
      <c r="O73" s="208"/>
      <c r="P73" s="208">
        <f t="shared" si="38"/>
        <v>0</v>
      </c>
      <c r="Q73" s="208"/>
      <c r="R73" s="208">
        <f t="shared" si="39"/>
        <v>0</v>
      </c>
      <c r="S73" s="208"/>
      <c r="T73" s="208">
        <f t="shared" si="40"/>
        <v>0</v>
      </c>
      <c r="U73" s="208"/>
      <c r="V73" s="208">
        <f t="shared" si="41"/>
        <v>0</v>
      </c>
      <c r="W73" s="208"/>
      <c r="X73" s="208">
        <f t="shared" si="42"/>
        <v>0</v>
      </c>
      <c r="Y73" s="208"/>
      <c r="Z73" s="208">
        <f t="shared" si="43"/>
        <v>0</v>
      </c>
      <c r="AA73" s="208"/>
      <c r="AB73" s="208">
        <f t="shared" si="44"/>
        <v>0</v>
      </c>
      <c r="AC73" s="208"/>
      <c r="AD73" s="208">
        <f t="shared" si="45"/>
        <v>0</v>
      </c>
      <c r="AE73" s="208"/>
      <c r="AF73" s="208">
        <f t="shared" si="46"/>
        <v>0</v>
      </c>
      <c r="AG73" s="208"/>
      <c r="AH73" s="208">
        <f t="shared" si="47"/>
        <v>0</v>
      </c>
      <c r="AI73" s="208"/>
      <c r="AJ73" s="208">
        <f t="shared" si="48"/>
        <v>0</v>
      </c>
      <c r="AK73" s="208"/>
      <c r="AL73" s="208">
        <f t="shared" si="49"/>
        <v>0</v>
      </c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</row>
    <row r="74" spans="2:53" x14ac:dyDescent="0.35">
      <c r="B74" s="168">
        <f t="shared" si="31"/>
        <v>14</v>
      </c>
      <c r="C74" s="169"/>
      <c r="D74" s="168">
        <f t="shared" si="32"/>
        <v>1</v>
      </c>
      <c r="E74" s="171"/>
      <c r="F74" s="168" t="str">
        <f t="shared" si="33"/>
        <v>x</v>
      </c>
      <c r="G74" s="169"/>
      <c r="H74" s="169" t="str">
        <f t="shared" si="34"/>
        <v>x</v>
      </c>
      <c r="I74" s="169"/>
      <c r="J74" s="208">
        <f t="shared" si="35"/>
        <v>0</v>
      </c>
      <c r="K74" s="208"/>
      <c r="L74" s="208">
        <f t="shared" si="36"/>
        <v>0</v>
      </c>
      <c r="M74" s="208"/>
      <c r="N74" s="208">
        <f t="shared" si="37"/>
        <v>0</v>
      </c>
      <c r="O74" s="208"/>
      <c r="P74" s="208">
        <f t="shared" si="38"/>
        <v>0</v>
      </c>
      <c r="Q74" s="208"/>
      <c r="R74" s="208">
        <f t="shared" si="39"/>
        <v>0</v>
      </c>
      <c r="S74" s="208"/>
      <c r="T74" s="208">
        <f t="shared" si="40"/>
        <v>0</v>
      </c>
      <c r="U74" s="208"/>
      <c r="V74" s="208">
        <f t="shared" si="41"/>
        <v>0</v>
      </c>
      <c r="W74" s="208"/>
      <c r="X74" s="208">
        <f t="shared" si="42"/>
        <v>0</v>
      </c>
      <c r="Y74" s="208"/>
      <c r="Z74" s="208">
        <f t="shared" si="43"/>
        <v>0</v>
      </c>
      <c r="AA74" s="208"/>
      <c r="AB74" s="208">
        <f t="shared" si="44"/>
        <v>0</v>
      </c>
      <c r="AC74" s="208"/>
      <c r="AD74" s="208">
        <f t="shared" si="45"/>
        <v>0</v>
      </c>
      <c r="AE74" s="208"/>
      <c r="AF74" s="208">
        <f t="shared" si="46"/>
        <v>0</v>
      </c>
      <c r="AG74" s="208"/>
      <c r="AH74" s="208">
        <f t="shared" si="47"/>
        <v>0</v>
      </c>
      <c r="AI74" s="208"/>
      <c r="AJ74" s="208">
        <f t="shared" si="48"/>
        <v>0</v>
      </c>
      <c r="AK74" s="208"/>
      <c r="AL74" s="208">
        <f t="shared" si="49"/>
        <v>0</v>
      </c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</row>
    <row r="75" spans="2:53" x14ac:dyDescent="0.35">
      <c r="B75" s="168">
        <f t="shared" si="31"/>
        <v>15</v>
      </c>
      <c r="C75" s="169"/>
      <c r="D75" s="168">
        <f t="shared" si="32"/>
        <v>1</v>
      </c>
      <c r="E75" s="171"/>
      <c r="F75" s="168" t="str">
        <f t="shared" si="33"/>
        <v>x</v>
      </c>
      <c r="G75" s="169"/>
      <c r="H75" s="169" t="str">
        <f t="shared" si="34"/>
        <v>x</v>
      </c>
      <c r="I75" s="169"/>
      <c r="J75" s="208">
        <f t="shared" si="35"/>
        <v>0</v>
      </c>
      <c r="K75" s="208"/>
      <c r="L75" s="208">
        <f t="shared" si="36"/>
        <v>0</v>
      </c>
      <c r="M75" s="208"/>
      <c r="N75" s="208">
        <f t="shared" si="37"/>
        <v>0</v>
      </c>
      <c r="O75" s="208"/>
      <c r="P75" s="208">
        <f t="shared" si="38"/>
        <v>0</v>
      </c>
      <c r="Q75" s="208"/>
      <c r="R75" s="208">
        <f t="shared" si="39"/>
        <v>0</v>
      </c>
      <c r="S75" s="208"/>
      <c r="T75" s="208">
        <f t="shared" si="40"/>
        <v>0</v>
      </c>
      <c r="U75" s="208"/>
      <c r="V75" s="208">
        <f t="shared" si="41"/>
        <v>0</v>
      </c>
      <c r="W75" s="208"/>
      <c r="X75" s="208">
        <f t="shared" si="42"/>
        <v>0</v>
      </c>
      <c r="Y75" s="208"/>
      <c r="Z75" s="208">
        <f t="shared" si="43"/>
        <v>0</v>
      </c>
      <c r="AA75" s="208"/>
      <c r="AB75" s="208">
        <f t="shared" si="44"/>
        <v>0</v>
      </c>
      <c r="AC75" s="208"/>
      <c r="AD75" s="208">
        <f t="shared" si="45"/>
        <v>0</v>
      </c>
      <c r="AE75" s="208"/>
      <c r="AF75" s="208">
        <f t="shared" si="46"/>
        <v>0</v>
      </c>
      <c r="AG75" s="208"/>
      <c r="AH75" s="208">
        <f t="shared" si="47"/>
        <v>0</v>
      </c>
      <c r="AI75" s="208"/>
      <c r="AJ75" s="208">
        <f t="shared" si="48"/>
        <v>0</v>
      </c>
      <c r="AK75" s="208"/>
      <c r="AL75" s="208">
        <f t="shared" si="49"/>
        <v>0</v>
      </c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</row>
    <row r="76" spans="2:53" x14ac:dyDescent="0.35">
      <c r="B76" s="135">
        <f t="shared" si="31"/>
        <v>16</v>
      </c>
      <c r="D76" s="135">
        <f t="shared" si="32"/>
        <v>1</v>
      </c>
      <c r="F76" s="135" t="str">
        <f t="shared" si="33"/>
        <v>x</v>
      </c>
      <c r="H76" s="136" t="str">
        <f t="shared" si="34"/>
        <v>x</v>
      </c>
      <c r="J76" s="210">
        <f t="shared" si="35"/>
        <v>0</v>
      </c>
      <c r="K76" s="210"/>
      <c r="L76" s="210">
        <f t="shared" si="36"/>
        <v>0</v>
      </c>
      <c r="M76" s="210"/>
      <c r="N76" s="210">
        <f t="shared" si="37"/>
        <v>0</v>
      </c>
      <c r="O76" s="210"/>
      <c r="P76" s="210">
        <f t="shared" si="38"/>
        <v>0</v>
      </c>
      <c r="Q76" s="210"/>
      <c r="R76" s="210">
        <f t="shared" si="39"/>
        <v>0</v>
      </c>
      <c r="S76" s="210"/>
      <c r="T76" s="210">
        <f t="shared" si="40"/>
        <v>0</v>
      </c>
      <c r="U76" s="210"/>
      <c r="V76" s="210">
        <f t="shared" si="41"/>
        <v>0</v>
      </c>
      <c r="W76" s="210"/>
      <c r="X76" s="210">
        <f t="shared" si="42"/>
        <v>0</v>
      </c>
      <c r="Y76" s="210"/>
      <c r="Z76" s="210">
        <f t="shared" si="43"/>
        <v>0</v>
      </c>
      <c r="AA76" s="210"/>
      <c r="AB76" s="210">
        <f t="shared" si="44"/>
        <v>0</v>
      </c>
      <c r="AC76" s="210"/>
      <c r="AD76" s="210">
        <f t="shared" si="45"/>
        <v>0</v>
      </c>
      <c r="AE76" s="210"/>
      <c r="AF76" s="210">
        <f t="shared" si="46"/>
        <v>0</v>
      </c>
      <c r="AG76" s="210"/>
      <c r="AH76" s="210">
        <f t="shared" si="47"/>
        <v>0</v>
      </c>
      <c r="AI76" s="210"/>
      <c r="AJ76" s="210">
        <f t="shared" si="48"/>
        <v>0</v>
      </c>
      <c r="AK76" s="210"/>
      <c r="AL76" s="210">
        <f t="shared" si="49"/>
        <v>0</v>
      </c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</row>
    <row r="77" spans="2:53" x14ac:dyDescent="0.35">
      <c r="B77" s="135">
        <f t="shared" si="31"/>
        <v>17</v>
      </c>
      <c r="D77" s="135">
        <f t="shared" si="32"/>
        <v>1</v>
      </c>
      <c r="F77" s="135" t="str">
        <f t="shared" si="33"/>
        <v>x</v>
      </c>
      <c r="H77" s="136" t="str">
        <f t="shared" si="34"/>
        <v>x</v>
      </c>
      <c r="J77" s="210">
        <f t="shared" si="35"/>
        <v>0</v>
      </c>
      <c r="K77" s="210"/>
      <c r="L77" s="210">
        <f t="shared" si="36"/>
        <v>0</v>
      </c>
      <c r="M77" s="210"/>
      <c r="N77" s="210">
        <f t="shared" si="37"/>
        <v>0</v>
      </c>
      <c r="O77" s="210"/>
      <c r="P77" s="210">
        <f t="shared" si="38"/>
        <v>0</v>
      </c>
      <c r="Q77" s="210"/>
      <c r="R77" s="210">
        <f t="shared" si="39"/>
        <v>0</v>
      </c>
      <c r="S77" s="210"/>
      <c r="T77" s="210">
        <f t="shared" si="40"/>
        <v>0</v>
      </c>
      <c r="U77" s="210"/>
      <c r="V77" s="210">
        <f t="shared" si="41"/>
        <v>0</v>
      </c>
      <c r="W77" s="210"/>
      <c r="X77" s="210">
        <f t="shared" si="42"/>
        <v>0</v>
      </c>
      <c r="Y77" s="210"/>
      <c r="Z77" s="210">
        <f t="shared" si="43"/>
        <v>0</v>
      </c>
      <c r="AA77" s="210"/>
      <c r="AB77" s="210">
        <f t="shared" si="44"/>
        <v>0</v>
      </c>
      <c r="AC77" s="210"/>
      <c r="AD77" s="210">
        <f t="shared" si="45"/>
        <v>0</v>
      </c>
      <c r="AE77" s="210"/>
      <c r="AF77" s="210">
        <f t="shared" si="46"/>
        <v>0</v>
      </c>
      <c r="AG77" s="210"/>
      <c r="AH77" s="210">
        <f t="shared" si="47"/>
        <v>0</v>
      </c>
      <c r="AI77" s="210"/>
      <c r="AJ77" s="210">
        <f t="shared" si="48"/>
        <v>0</v>
      </c>
      <c r="AK77" s="210"/>
      <c r="AL77" s="210">
        <f t="shared" si="49"/>
        <v>0</v>
      </c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</row>
    <row r="78" spans="2:53" x14ac:dyDescent="0.35">
      <c r="B78" s="135">
        <f t="shared" si="31"/>
        <v>18</v>
      </c>
      <c r="D78" s="135">
        <f t="shared" si="32"/>
        <v>1</v>
      </c>
      <c r="F78" s="135" t="str">
        <f t="shared" si="33"/>
        <v>x</v>
      </c>
      <c r="H78" s="136" t="str">
        <f t="shared" si="34"/>
        <v>x</v>
      </c>
      <c r="J78" s="210">
        <f t="shared" si="35"/>
        <v>0</v>
      </c>
      <c r="K78" s="210"/>
      <c r="L78" s="210">
        <f t="shared" si="36"/>
        <v>0</v>
      </c>
      <c r="M78" s="210"/>
      <c r="N78" s="210">
        <f t="shared" si="37"/>
        <v>0</v>
      </c>
      <c r="O78" s="210"/>
      <c r="P78" s="210">
        <f t="shared" si="38"/>
        <v>0</v>
      </c>
      <c r="Q78" s="210"/>
      <c r="R78" s="210">
        <f t="shared" si="39"/>
        <v>0</v>
      </c>
      <c r="S78" s="210"/>
      <c r="T78" s="210">
        <f t="shared" si="40"/>
        <v>0</v>
      </c>
      <c r="U78" s="210"/>
      <c r="V78" s="210">
        <f t="shared" si="41"/>
        <v>0</v>
      </c>
      <c r="W78" s="210"/>
      <c r="X78" s="210">
        <f t="shared" si="42"/>
        <v>0</v>
      </c>
      <c r="Y78" s="210"/>
      <c r="Z78" s="210">
        <f t="shared" si="43"/>
        <v>0</v>
      </c>
      <c r="AA78" s="210"/>
      <c r="AB78" s="210">
        <f t="shared" si="44"/>
        <v>0</v>
      </c>
      <c r="AC78" s="210"/>
      <c r="AD78" s="210">
        <f t="shared" si="45"/>
        <v>0</v>
      </c>
      <c r="AE78" s="210"/>
      <c r="AF78" s="210">
        <f t="shared" si="46"/>
        <v>0</v>
      </c>
      <c r="AG78" s="210"/>
      <c r="AH78" s="210">
        <f t="shared" si="47"/>
        <v>0</v>
      </c>
      <c r="AI78" s="210"/>
      <c r="AJ78" s="210">
        <f t="shared" si="48"/>
        <v>0</v>
      </c>
      <c r="AK78" s="210"/>
      <c r="AL78" s="210">
        <f t="shared" si="49"/>
        <v>0</v>
      </c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</row>
    <row r="79" spans="2:53" x14ac:dyDescent="0.35">
      <c r="B79" s="168">
        <f t="shared" si="31"/>
        <v>19</v>
      </c>
      <c r="C79" s="169"/>
      <c r="D79" s="168">
        <f t="shared" si="32"/>
        <v>1</v>
      </c>
      <c r="E79" s="171"/>
      <c r="F79" s="168" t="str">
        <f t="shared" si="33"/>
        <v>x</v>
      </c>
      <c r="G79" s="169"/>
      <c r="H79" s="169" t="str">
        <f t="shared" si="34"/>
        <v>x</v>
      </c>
      <c r="I79" s="169"/>
      <c r="J79" s="208">
        <f t="shared" si="35"/>
        <v>0</v>
      </c>
      <c r="K79" s="208"/>
      <c r="L79" s="208">
        <f t="shared" si="36"/>
        <v>0</v>
      </c>
      <c r="M79" s="208"/>
      <c r="N79" s="208">
        <f t="shared" si="37"/>
        <v>0</v>
      </c>
      <c r="O79" s="208"/>
      <c r="P79" s="208">
        <f t="shared" si="38"/>
        <v>0</v>
      </c>
      <c r="Q79" s="208"/>
      <c r="R79" s="208">
        <f t="shared" si="39"/>
        <v>0</v>
      </c>
      <c r="S79" s="208"/>
      <c r="T79" s="208">
        <f t="shared" si="40"/>
        <v>0</v>
      </c>
      <c r="U79" s="208"/>
      <c r="V79" s="208">
        <f t="shared" si="41"/>
        <v>0</v>
      </c>
      <c r="W79" s="208"/>
      <c r="X79" s="208">
        <f t="shared" si="42"/>
        <v>0</v>
      </c>
      <c r="Y79" s="208"/>
      <c r="Z79" s="208">
        <f t="shared" si="43"/>
        <v>0</v>
      </c>
      <c r="AA79" s="208"/>
      <c r="AB79" s="208">
        <f t="shared" si="44"/>
        <v>0</v>
      </c>
      <c r="AC79" s="208"/>
      <c r="AD79" s="208">
        <f t="shared" si="45"/>
        <v>0</v>
      </c>
      <c r="AE79" s="208"/>
      <c r="AF79" s="208">
        <f t="shared" si="46"/>
        <v>0</v>
      </c>
      <c r="AG79" s="208"/>
      <c r="AH79" s="208">
        <f t="shared" si="47"/>
        <v>0</v>
      </c>
      <c r="AI79" s="208"/>
      <c r="AJ79" s="208">
        <f t="shared" si="48"/>
        <v>0</v>
      </c>
      <c r="AK79" s="208"/>
      <c r="AL79" s="208">
        <f t="shared" si="49"/>
        <v>0</v>
      </c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</row>
    <row r="80" spans="2:53" x14ac:dyDescent="0.35">
      <c r="B80" s="168">
        <f t="shared" si="31"/>
        <v>20</v>
      </c>
      <c r="C80" s="169"/>
      <c r="D80" s="168">
        <f t="shared" si="32"/>
        <v>1</v>
      </c>
      <c r="E80" s="171"/>
      <c r="F80" s="168" t="str">
        <f t="shared" si="33"/>
        <v>x</v>
      </c>
      <c r="G80" s="169"/>
      <c r="H80" s="169" t="str">
        <f t="shared" si="34"/>
        <v>x</v>
      </c>
      <c r="I80" s="169"/>
      <c r="J80" s="208">
        <f t="shared" si="35"/>
        <v>0</v>
      </c>
      <c r="K80" s="208"/>
      <c r="L80" s="208">
        <f t="shared" si="36"/>
        <v>0</v>
      </c>
      <c r="M80" s="208"/>
      <c r="N80" s="208">
        <f t="shared" si="37"/>
        <v>0</v>
      </c>
      <c r="O80" s="208"/>
      <c r="P80" s="208">
        <f t="shared" si="38"/>
        <v>0</v>
      </c>
      <c r="Q80" s="208"/>
      <c r="R80" s="208">
        <f t="shared" si="39"/>
        <v>0</v>
      </c>
      <c r="S80" s="208"/>
      <c r="T80" s="208">
        <f t="shared" si="40"/>
        <v>0</v>
      </c>
      <c r="U80" s="208"/>
      <c r="V80" s="208">
        <f t="shared" si="41"/>
        <v>0</v>
      </c>
      <c r="W80" s="208"/>
      <c r="X80" s="208">
        <f t="shared" si="42"/>
        <v>0</v>
      </c>
      <c r="Y80" s="208"/>
      <c r="Z80" s="208">
        <f t="shared" si="43"/>
        <v>0</v>
      </c>
      <c r="AA80" s="208"/>
      <c r="AB80" s="208">
        <f t="shared" si="44"/>
        <v>0</v>
      </c>
      <c r="AC80" s="208"/>
      <c r="AD80" s="208">
        <f t="shared" si="45"/>
        <v>0</v>
      </c>
      <c r="AE80" s="208"/>
      <c r="AF80" s="208">
        <f t="shared" si="46"/>
        <v>0</v>
      </c>
      <c r="AG80" s="208"/>
      <c r="AH80" s="208">
        <f t="shared" si="47"/>
        <v>0</v>
      </c>
      <c r="AI80" s="208"/>
      <c r="AJ80" s="208">
        <f t="shared" si="48"/>
        <v>0</v>
      </c>
      <c r="AK80" s="208"/>
      <c r="AL80" s="208">
        <f t="shared" si="49"/>
        <v>0</v>
      </c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</row>
    <row r="81" spans="2:53" x14ac:dyDescent="0.35">
      <c r="B81" s="168">
        <f t="shared" si="31"/>
        <v>21</v>
      </c>
      <c r="C81" s="169"/>
      <c r="D81" s="168">
        <f t="shared" si="32"/>
        <v>1</v>
      </c>
      <c r="E81" s="171"/>
      <c r="F81" s="168" t="str">
        <f t="shared" si="33"/>
        <v>x</v>
      </c>
      <c r="G81" s="169"/>
      <c r="H81" s="169" t="str">
        <f t="shared" si="34"/>
        <v>x</v>
      </c>
      <c r="I81" s="169"/>
      <c r="J81" s="208">
        <f t="shared" si="35"/>
        <v>0</v>
      </c>
      <c r="K81" s="208"/>
      <c r="L81" s="208">
        <f t="shared" si="36"/>
        <v>0</v>
      </c>
      <c r="M81" s="208"/>
      <c r="N81" s="208">
        <f t="shared" si="37"/>
        <v>0</v>
      </c>
      <c r="O81" s="208"/>
      <c r="P81" s="208">
        <f t="shared" si="38"/>
        <v>0</v>
      </c>
      <c r="Q81" s="208"/>
      <c r="R81" s="208">
        <f t="shared" si="39"/>
        <v>0</v>
      </c>
      <c r="S81" s="208"/>
      <c r="T81" s="208">
        <f t="shared" si="40"/>
        <v>0</v>
      </c>
      <c r="U81" s="208"/>
      <c r="V81" s="208">
        <f t="shared" si="41"/>
        <v>0</v>
      </c>
      <c r="W81" s="208"/>
      <c r="X81" s="208">
        <f t="shared" si="42"/>
        <v>0</v>
      </c>
      <c r="Y81" s="208"/>
      <c r="Z81" s="208">
        <f t="shared" si="43"/>
        <v>0</v>
      </c>
      <c r="AA81" s="208"/>
      <c r="AB81" s="208">
        <f t="shared" si="44"/>
        <v>0</v>
      </c>
      <c r="AC81" s="208"/>
      <c r="AD81" s="208">
        <f t="shared" si="45"/>
        <v>0</v>
      </c>
      <c r="AE81" s="208"/>
      <c r="AF81" s="208">
        <f t="shared" si="46"/>
        <v>0</v>
      </c>
      <c r="AG81" s="208"/>
      <c r="AH81" s="208">
        <f t="shared" si="47"/>
        <v>0</v>
      </c>
      <c r="AI81" s="208"/>
      <c r="AJ81" s="208">
        <f t="shared" si="48"/>
        <v>0</v>
      </c>
      <c r="AK81" s="208"/>
      <c r="AL81" s="208">
        <f t="shared" si="49"/>
        <v>0</v>
      </c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</row>
    <row r="82" spans="2:53" x14ac:dyDescent="0.35">
      <c r="B82" s="135">
        <f t="shared" ref="B82:B100" si="50">+B32</f>
        <v>22</v>
      </c>
      <c r="D82" s="135">
        <f t="shared" ref="D82:D100" si="51">+D32</f>
        <v>1</v>
      </c>
      <c r="F82" s="135" t="str">
        <f t="shared" si="33"/>
        <v>x</v>
      </c>
      <c r="H82" s="136" t="str">
        <f t="shared" ref="H82:H92" si="52">+H32</f>
        <v>x</v>
      </c>
      <c r="J82" s="210">
        <f t="shared" si="35"/>
        <v>0</v>
      </c>
      <c r="K82" s="210"/>
      <c r="L82" s="210">
        <f t="shared" si="36"/>
        <v>0</v>
      </c>
      <c r="M82" s="210"/>
      <c r="N82" s="210">
        <f t="shared" si="37"/>
        <v>0</v>
      </c>
      <c r="O82" s="210"/>
      <c r="P82" s="210">
        <f t="shared" si="38"/>
        <v>0</v>
      </c>
      <c r="Q82" s="210"/>
      <c r="R82" s="210">
        <f t="shared" si="39"/>
        <v>0</v>
      </c>
      <c r="S82" s="210"/>
      <c r="T82" s="210">
        <f t="shared" si="40"/>
        <v>0</v>
      </c>
      <c r="U82" s="210"/>
      <c r="V82" s="210">
        <f t="shared" si="41"/>
        <v>0</v>
      </c>
      <c r="W82" s="210"/>
      <c r="X82" s="210">
        <f t="shared" si="42"/>
        <v>0</v>
      </c>
      <c r="Y82" s="210"/>
      <c r="Z82" s="210">
        <f t="shared" si="43"/>
        <v>0</v>
      </c>
      <c r="AA82" s="210"/>
      <c r="AB82" s="210">
        <f t="shared" si="44"/>
        <v>0</v>
      </c>
      <c r="AC82" s="210"/>
      <c r="AD82" s="210">
        <f t="shared" si="45"/>
        <v>0</v>
      </c>
      <c r="AE82" s="210"/>
      <c r="AF82" s="210">
        <f t="shared" si="46"/>
        <v>0</v>
      </c>
      <c r="AG82" s="210"/>
      <c r="AH82" s="210">
        <f t="shared" si="47"/>
        <v>0</v>
      </c>
      <c r="AI82" s="210"/>
      <c r="AJ82" s="210">
        <f t="shared" si="48"/>
        <v>0</v>
      </c>
      <c r="AK82" s="210"/>
      <c r="AL82" s="210">
        <f t="shared" si="49"/>
        <v>0</v>
      </c>
    </row>
    <row r="83" spans="2:53" x14ac:dyDescent="0.35">
      <c r="B83" s="135">
        <f t="shared" si="50"/>
        <v>23</v>
      </c>
      <c r="D83" s="135">
        <f t="shared" si="51"/>
        <v>1</v>
      </c>
      <c r="F83" s="135" t="str">
        <f t="shared" si="33"/>
        <v>x</v>
      </c>
      <c r="H83" s="136" t="str">
        <f t="shared" si="52"/>
        <v>x</v>
      </c>
      <c r="J83" s="210">
        <f t="shared" si="35"/>
        <v>0</v>
      </c>
      <c r="K83" s="210"/>
      <c r="L83" s="210">
        <f t="shared" si="36"/>
        <v>0</v>
      </c>
      <c r="M83" s="210"/>
      <c r="N83" s="210">
        <f t="shared" si="37"/>
        <v>0</v>
      </c>
      <c r="O83" s="210"/>
      <c r="P83" s="210">
        <f t="shared" si="38"/>
        <v>0</v>
      </c>
      <c r="Q83" s="210"/>
      <c r="R83" s="210">
        <f t="shared" si="39"/>
        <v>0</v>
      </c>
      <c r="S83" s="210"/>
      <c r="T83" s="210">
        <f t="shared" si="40"/>
        <v>0</v>
      </c>
      <c r="U83" s="210"/>
      <c r="V83" s="210">
        <f t="shared" si="41"/>
        <v>0</v>
      </c>
      <c r="W83" s="210"/>
      <c r="X83" s="210">
        <f t="shared" si="42"/>
        <v>0</v>
      </c>
      <c r="Y83" s="210"/>
      <c r="Z83" s="210">
        <f t="shared" si="43"/>
        <v>0</v>
      </c>
      <c r="AA83" s="210"/>
      <c r="AB83" s="210">
        <f t="shared" si="44"/>
        <v>0</v>
      </c>
      <c r="AC83" s="210"/>
      <c r="AD83" s="210">
        <f t="shared" si="45"/>
        <v>0</v>
      </c>
      <c r="AE83" s="210"/>
      <c r="AF83" s="210">
        <f t="shared" si="46"/>
        <v>0</v>
      </c>
      <c r="AG83" s="210"/>
      <c r="AH83" s="210">
        <f t="shared" si="47"/>
        <v>0</v>
      </c>
      <c r="AI83" s="210"/>
      <c r="AJ83" s="210">
        <f t="shared" si="48"/>
        <v>0</v>
      </c>
      <c r="AK83" s="210"/>
      <c r="AL83" s="210">
        <f t="shared" si="49"/>
        <v>0</v>
      </c>
    </row>
    <row r="84" spans="2:53" x14ac:dyDescent="0.35">
      <c r="B84" s="135">
        <f t="shared" si="50"/>
        <v>24</v>
      </c>
      <c r="D84" s="135">
        <f t="shared" si="51"/>
        <v>1</v>
      </c>
      <c r="F84" s="135" t="str">
        <f t="shared" si="33"/>
        <v>x</v>
      </c>
      <c r="H84" s="136" t="str">
        <f t="shared" si="52"/>
        <v>x</v>
      </c>
      <c r="J84" s="210">
        <f t="shared" si="35"/>
        <v>0</v>
      </c>
      <c r="K84" s="210"/>
      <c r="L84" s="210">
        <f t="shared" si="36"/>
        <v>0</v>
      </c>
      <c r="M84" s="210"/>
      <c r="N84" s="210">
        <f t="shared" si="37"/>
        <v>0</v>
      </c>
      <c r="O84" s="210"/>
      <c r="P84" s="210">
        <f t="shared" si="38"/>
        <v>0</v>
      </c>
      <c r="Q84" s="210"/>
      <c r="R84" s="210">
        <f t="shared" si="39"/>
        <v>0</v>
      </c>
      <c r="S84" s="210"/>
      <c r="T84" s="210">
        <f t="shared" si="40"/>
        <v>0</v>
      </c>
      <c r="U84" s="210"/>
      <c r="V84" s="210">
        <f t="shared" si="41"/>
        <v>0</v>
      </c>
      <c r="W84" s="210"/>
      <c r="X84" s="210">
        <f t="shared" si="42"/>
        <v>0</v>
      </c>
      <c r="Y84" s="210"/>
      <c r="Z84" s="210">
        <f t="shared" si="43"/>
        <v>0</v>
      </c>
      <c r="AA84" s="210"/>
      <c r="AB84" s="210">
        <f t="shared" si="44"/>
        <v>0</v>
      </c>
      <c r="AC84" s="210"/>
      <c r="AD84" s="210">
        <f t="shared" si="45"/>
        <v>0</v>
      </c>
      <c r="AE84" s="210"/>
      <c r="AF84" s="210">
        <f t="shared" si="46"/>
        <v>0</v>
      </c>
      <c r="AG84" s="210"/>
      <c r="AH84" s="210">
        <f t="shared" si="47"/>
        <v>0</v>
      </c>
      <c r="AI84" s="210"/>
      <c r="AJ84" s="210">
        <f t="shared" si="48"/>
        <v>0</v>
      </c>
      <c r="AK84" s="210"/>
      <c r="AL84" s="210">
        <f t="shared" si="49"/>
        <v>0</v>
      </c>
    </row>
    <row r="85" spans="2:53" x14ac:dyDescent="0.35">
      <c r="B85" s="168">
        <f t="shared" si="50"/>
        <v>25</v>
      </c>
      <c r="C85" s="169"/>
      <c r="D85" s="168">
        <f t="shared" si="51"/>
        <v>1</v>
      </c>
      <c r="E85" s="171"/>
      <c r="F85" s="168" t="str">
        <f t="shared" si="33"/>
        <v>x</v>
      </c>
      <c r="G85" s="169"/>
      <c r="H85" s="169" t="str">
        <f t="shared" si="52"/>
        <v>x</v>
      </c>
      <c r="I85" s="169"/>
      <c r="J85" s="208">
        <f t="shared" si="35"/>
        <v>0</v>
      </c>
      <c r="K85" s="208"/>
      <c r="L85" s="208">
        <f t="shared" si="36"/>
        <v>0</v>
      </c>
      <c r="M85" s="208"/>
      <c r="N85" s="208">
        <f t="shared" si="37"/>
        <v>0</v>
      </c>
      <c r="O85" s="208"/>
      <c r="P85" s="208">
        <f t="shared" si="38"/>
        <v>0</v>
      </c>
      <c r="Q85" s="208"/>
      <c r="R85" s="208">
        <f t="shared" si="39"/>
        <v>0</v>
      </c>
      <c r="S85" s="208"/>
      <c r="T85" s="208">
        <f t="shared" si="40"/>
        <v>0</v>
      </c>
      <c r="U85" s="208"/>
      <c r="V85" s="208">
        <f t="shared" si="41"/>
        <v>0</v>
      </c>
      <c r="W85" s="208"/>
      <c r="X85" s="208">
        <f t="shared" si="42"/>
        <v>0</v>
      </c>
      <c r="Y85" s="208"/>
      <c r="Z85" s="208">
        <f t="shared" si="43"/>
        <v>0</v>
      </c>
      <c r="AA85" s="208"/>
      <c r="AB85" s="208">
        <f t="shared" si="44"/>
        <v>0</v>
      </c>
      <c r="AC85" s="208"/>
      <c r="AD85" s="208">
        <f t="shared" si="45"/>
        <v>0</v>
      </c>
      <c r="AE85" s="208"/>
      <c r="AF85" s="208">
        <f t="shared" si="46"/>
        <v>0</v>
      </c>
      <c r="AG85" s="208"/>
      <c r="AH85" s="208">
        <f t="shared" si="47"/>
        <v>0</v>
      </c>
      <c r="AI85" s="208"/>
      <c r="AJ85" s="208">
        <f t="shared" si="48"/>
        <v>0</v>
      </c>
      <c r="AK85" s="208"/>
      <c r="AL85" s="208">
        <f t="shared" si="49"/>
        <v>0</v>
      </c>
    </row>
    <row r="86" spans="2:53" x14ac:dyDescent="0.35">
      <c r="B86" s="168">
        <f t="shared" si="50"/>
        <v>26</v>
      </c>
      <c r="C86" s="169"/>
      <c r="D86" s="168">
        <f t="shared" si="51"/>
        <v>1</v>
      </c>
      <c r="E86" s="171"/>
      <c r="F86" s="168" t="str">
        <f t="shared" si="33"/>
        <v>x</v>
      </c>
      <c r="G86" s="169"/>
      <c r="H86" s="169" t="str">
        <f t="shared" si="52"/>
        <v>x</v>
      </c>
      <c r="I86" s="169"/>
      <c r="J86" s="208">
        <f t="shared" si="35"/>
        <v>0</v>
      </c>
      <c r="K86" s="208"/>
      <c r="L86" s="208">
        <f t="shared" si="36"/>
        <v>0</v>
      </c>
      <c r="M86" s="208"/>
      <c r="N86" s="208">
        <f t="shared" si="37"/>
        <v>0</v>
      </c>
      <c r="O86" s="208"/>
      <c r="P86" s="208">
        <f t="shared" si="38"/>
        <v>0</v>
      </c>
      <c r="Q86" s="208"/>
      <c r="R86" s="208">
        <f t="shared" si="39"/>
        <v>0</v>
      </c>
      <c r="S86" s="208"/>
      <c r="T86" s="208">
        <f t="shared" si="40"/>
        <v>0</v>
      </c>
      <c r="U86" s="208"/>
      <c r="V86" s="208">
        <f t="shared" si="41"/>
        <v>0</v>
      </c>
      <c r="W86" s="208"/>
      <c r="X86" s="208">
        <f t="shared" si="42"/>
        <v>0</v>
      </c>
      <c r="Y86" s="208"/>
      <c r="Z86" s="208">
        <f t="shared" si="43"/>
        <v>0</v>
      </c>
      <c r="AA86" s="208"/>
      <c r="AB86" s="208">
        <f t="shared" si="44"/>
        <v>0</v>
      </c>
      <c r="AC86" s="208"/>
      <c r="AD86" s="208">
        <f t="shared" si="45"/>
        <v>0</v>
      </c>
      <c r="AE86" s="208"/>
      <c r="AF86" s="208">
        <f t="shared" si="46"/>
        <v>0</v>
      </c>
      <c r="AG86" s="208"/>
      <c r="AH86" s="208">
        <f t="shared" si="47"/>
        <v>0</v>
      </c>
      <c r="AI86" s="208"/>
      <c r="AJ86" s="208">
        <f t="shared" si="48"/>
        <v>0</v>
      </c>
      <c r="AK86" s="208"/>
      <c r="AL86" s="208">
        <f t="shared" si="49"/>
        <v>0</v>
      </c>
    </row>
    <row r="87" spans="2:53" x14ac:dyDescent="0.35">
      <c r="B87" s="168">
        <f t="shared" si="50"/>
        <v>27</v>
      </c>
      <c r="C87" s="169"/>
      <c r="D87" s="168">
        <f t="shared" si="51"/>
        <v>1</v>
      </c>
      <c r="E87" s="171"/>
      <c r="F87" s="168" t="str">
        <f t="shared" si="33"/>
        <v>x</v>
      </c>
      <c r="G87" s="169"/>
      <c r="H87" s="169" t="str">
        <f t="shared" si="52"/>
        <v>x</v>
      </c>
      <c r="I87" s="169"/>
      <c r="J87" s="208">
        <f t="shared" si="35"/>
        <v>0</v>
      </c>
      <c r="K87" s="208"/>
      <c r="L87" s="208">
        <f t="shared" si="36"/>
        <v>0</v>
      </c>
      <c r="M87" s="208"/>
      <c r="N87" s="208">
        <f t="shared" si="37"/>
        <v>0</v>
      </c>
      <c r="O87" s="208"/>
      <c r="P87" s="208">
        <f t="shared" si="38"/>
        <v>0</v>
      </c>
      <c r="Q87" s="208"/>
      <c r="R87" s="208">
        <f t="shared" si="39"/>
        <v>0</v>
      </c>
      <c r="S87" s="208"/>
      <c r="T87" s="208">
        <f t="shared" si="40"/>
        <v>0</v>
      </c>
      <c r="U87" s="208"/>
      <c r="V87" s="208">
        <f t="shared" si="41"/>
        <v>0</v>
      </c>
      <c r="W87" s="208"/>
      <c r="X87" s="208">
        <f t="shared" si="42"/>
        <v>0</v>
      </c>
      <c r="Y87" s="208"/>
      <c r="Z87" s="208">
        <f t="shared" si="43"/>
        <v>0</v>
      </c>
      <c r="AA87" s="208"/>
      <c r="AB87" s="208">
        <f t="shared" si="44"/>
        <v>0</v>
      </c>
      <c r="AC87" s="208"/>
      <c r="AD87" s="208">
        <f t="shared" si="45"/>
        <v>0</v>
      </c>
      <c r="AE87" s="208"/>
      <c r="AF87" s="208">
        <f t="shared" si="46"/>
        <v>0</v>
      </c>
      <c r="AG87" s="208"/>
      <c r="AH87" s="208">
        <f t="shared" si="47"/>
        <v>0</v>
      </c>
      <c r="AI87" s="208"/>
      <c r="AJ87" s="208">
        <f t="shared" si="48"/>
        <v>0</v>
      </c>
      <c r="AK87" s="208"/>
      <c r="AL87" s="208">
        <f t="shared" si="49"/>
        <v>0</v>
      </c>
    </row>
    <row r="88" spans="2:53" x14ac:dyDescent="0.35">
      <c r="B88" s="135">
        <f t="shared" si="50"/>
        <v>28</v>
      </c>
      <c r="D88" s="135">
        <f t="shared" si="51"/>
        <v>1</v>
      </c>
      <c r="F88" s="135" t="str">
        <f t="shared" si="33"/>
        <v>x</v>
      </c>
      <c r="H88" s="181" t="str">
        <f t="shared" si="52"/>
        <v>x</v>
      </c>
      <c r="J88" s="210">
        <f t="shared" si="35"/>
        <v>0</v>
      </c>
      <c r="K88" s="210"/>
      <c r="L88" s="210">
        <f t="shared" si="36"/>
        <v>0</v>
      </c>
      <c r="M88" s="210"/>
      <c r="N88" s="210">
        <f t="shared" si="37"/>
        <v>0</v>
      </c>
      <c r="O88" s="210"/>
      <c r="P88" s="210">
        <f t="shared" si="38"/>
        <v>0</v>
      </c>
      <c r="Q88" s="210"/>
      <c r="R88" s="210">
        <f t="shared" si="39"/>
        <v>0</v>
      </c>
      <c r="S88" s="210"/>
      <c r="T88" s="210">
        <f t="shared" si="40"/>
        <v>0</v>
      </c>
      <c r="U88" s="210"/>
      <c r="V88" s="210">
        <f t="shared" si="41"/>
        <v>0</v>
      </c>
      <c r="W88" s="210"/>
      <c r="X88" s="210">
        <f t="shared" si="42"/>
        <v>0</v>
      </c>
      <c r="Y88" s="210"/>
      <c r="Z88" s="210">
        <f t="shared" si="43"/>
        <v>0</v>
      </c>
      <c r="AA88" s="210"/>
      <c r="AB88" s="210">
        <f t="shared" si="44"/>
        <v>0</v>
      </c>
      <c r="AC88" s="210"/>
      <c r="AD88" s="210">
        <f t="shared" si="45"/>
        <v>0</v>
      </c>
      <c r="AE88" s="210"/>
      <c r="AF88" s="210">
        <f t="shared" si="46"/>
        <v>0</v>
      </c>
      <c r="AG88" s="210"/>
      <c r="AH88" s="210">
        <f t="shared" si="47"/>
        <v>0</v>
      </c>
      <c r="AI88" s="210"/>
      <c r="AJ88" s="210">
        <f t="shared" si="48"/>
        <v>0</v>
      </c>
      <c r="AK88" s="210"/>
      <c r="AL88" s="210">
        <f t="shared" si="49"/>
        <v>0</v>
      </c>
    </row>
    <row r="89" spans="2:53" x14ac:dyDescent="0.35">
      <c r="B89" s="135">
        <f t="shared" si="50"/>
        <v>29</v>
      </c>
      <c r="D89" s="135">
        <f t="shared" si="51"/>
        <v>1</v>
      </c>
      <c r="F89" s="135" t="str">
        <f t="shared" si="33"/>
        <v>x</v>
      </c>
      <c r="H89" s="181" t="str">
        <f t="shared" si="52"/>
        <v>x</v>
      </c>
      <c r="J89" s="210">
        <f t="shared" si="35"/>
        <v>0</v>
      </c>
      <c r="K89" s="210"/>
      <c r="L89" s="210">
        <f t="shared" si="36"/>
        <v>0</v>
      </c>
      <c r="M89" s="210"/>
      <c r="N89" s="210">
        <f t="shared" si="37"/>
        <v>0</v>
      </c>
      <c r="O89" s="210"/>
      <c r="P89" s="210">
        <f t="shared" si="38"/>
        <v>0</v>
      </c>
      <c r="Q89" s="210"/>
      <c r="R89" s="210">
        <f t="shared" si="39"/>
        <v>0</v>
      </c>
      <c r="S89" s="210"/>
      <c r="T89" s="210">
        <f t="shared" si="40"/>
        <v>0</v>
      </c>
      <c r="U89" s="210"/>
      <c r="V89" s="210">
        <f t="shared" si="41"/>
        <v>0</v>
      </c>
      <c r="W89" s="210"/>
      <c r="X89" s="210">
        <f t="shared" si="42"/>
        <v>0</v>
      </c>
      <c r="Y89" s="210"/>
      <c r="Z89" s="210">
        <f t="shared" si="43"/>
        <v>0</v>
      </c>
      <c r="AA89" s="210"/>
      <c r="AB89" s="210">
        <f t="shared" si="44"/>
        <v>0</v>
      </c>
      <c r="AC89" s="210"/>
      <c r="AD89" s="210">
        <f t="shared" si="45"/>
        <v>0</v>
      </c>
      <c r="AE89" s="210"/>
      <c r="AF89" s="210">
        <f t="shared" si="46"/>
        <v>0</v>
      </c>
      <c r="AG89" s="210"/>
      <c r="AH89" s="210">
        <f t="shared" si="47"/>
        <v>0</v>
      </c>
      <c r="AI89" s="210"/>
      <c r="AJ89" s="210">
        <f t="shared" si="48"/>
        <v>0</v>
      </c>
      <c r="AK89" s="210"/>
      <c r="AL89" s="210">
        <f t="shared" si="49"/>
        <v>0</v>
      </c>
    </row>
    <row r="90" spans="2:53" x14ac:dyDescent="0.35">
      <c r="B90" s="135">
        <f t="shared" si="50"/>
        <v>30</v>
      </c>
      <c r="D90" s="135">
        <f t="shared" si="51"/>
        <v>1</v>
      </c>
      <c r="F90" s="135" t="str">
        <f t="shared" si="33"/>
        <v>x</v>
      </c>
      <c r="H90" s="181" t="str">
        <f t="shared" si="52"/>
        <v>x</v>
      </c>
      <c r="J90" s="210">
        <f t="shared" si="35"/>
        <v>0</v>
      </c>
      <c r="K90" s="210"/>
      <c r="L90" s="210">
        <f t="shared" si="36"/>
        <v>0</v>
      </c>
      <c r="M90" s="210"/>
      <c r="N90" s="210">
        <f t="shared" si="37"/>
        <v>0</v>
      </c>
      <c r="O90" s="210"/>
      <c r="P90" s="210">
        <f t="shared" si="38"/>
        <v>0</v>
      </c>
      <c r="Q90" s="210"/>
      <c r="R90" s="210">
        <f t="shared" si="39"/>
        <v>0</v>
      </c>
      <c r="S90" s="210"/>
      <c r="T90" s="210">
        <f t="shared" si="40"/>
        <v>0</v>
      </c>
      <c r="U90" s="210"/>
      <c r="V90" s="210">
        <f t="shared" si="41"/>
        <v>0</v>
      </c>
      <c r="W90" s="210"/>
      <c r="X90" s="210">
        <f t="shared" si="42"/>
        <v>0</v>
      </c>
      <c r="Y90" s="210"/>
      <c r="Z90" s="210">
        <f t="shared" si="43"/>
        <v>0</v>
      </c>
      <c r="AA90" s="210"/>
      <c r="AB90" s="210">
        <f t="shared" si="44"/>
        <v>0</v>
      </c>
      <c r="AC90" s="210"/>
      <c r="AD90" s="210">
        <f t="shared" si="45"/>
        <v>0</v>
      </c>
      <c r="AE90" s="210"/>
      <c r="AF90" s="210">
        <f t="shared" si="46"/>
        <v>0</v>
      </c>
      <c r="AG90" s="210"/>
      <c r="AH90" s="210">
        <f t="shared" si="47"/>
        <v>0</v>
      </c>
      <c r="AI90" s="210"/>
      <c r="AJ90" s="210">
        <f t="shared" si="48"/>
        <v>0</v>
      </c>
      <c r="AK90" s="210"/>
      <c r="AL90" s="210">
        <f t="shared" si="49"/>
        <v>0</v>
      </c>
    </row>
    <row r="91" spans="2:53" x14ac:dyDescent="0.35">
      <c r="B91" s="168">
        <f t="shared" si="50"/>
        <v>31</v>
      </c>
      <c r="C91" s="169"/>
      <c r="D91" s="168">
        <f t="shared" si="51"/>
        <v>1</v>
      </c>
      <c r="E91" s="171"/>
      <c r="F91" s="168" t="str">
        <f t="shared" si="33"/>
        <v>x</v>
      </c>
      <c r="G91" s="169"/>
      <c r="H91" s="169" t="str">
        <f t="shared" si="52"/>
        <v>x</v>
      </c>
      <c r="I91" s="169"/>
      <c r="J91" s="208">
        <f t="shared" si="35"/>
        <v>0</v>
      </c>
      <c r="K91" s="208"/>
      <c r="L91" s="208">
        <f t="shared" si="36"/>
        <v>0</v>
      </c>
      <c r="M91" s="208"/>
      <c r="N91" s="208">
        <f t="shared" si="37"/>
        <v>0</v>
      </c>
      <c r="O91" s="208"/>
      <c r="P91" s="208">
        <f t="shared" si="38"/>
        <v>0</v>
      </c>
      <c r="Q91" s="208"/>
      <c r="R91" s="208">
        <f t="shared" si="39"/>
        <v>0</v>
      </c>
      <c r="S91" s="208"/>
      <c r="T91" s="208">
        <f t="shared" si="40"/>
        <v>0</v>
      </c>
      <c r="U91" s="208"/>
      <c r="V91" s="208">
        <f t="shared" si="41"/>
        <v>0</v>
      </c>
      <c r="W91" s="208"/>
      <c r="X91" s="208">
        <f t="shared" si="42"/>
        <v>0</v>
      </c>
      <c r="Y91" s="208"/>
      <c r="Z91" s="208">
        <f t="shared" si="43"/>
        <v>0</v>
      </c>
      <c r="AA91" s="208"/>
      <c r="AB91" s="208">
        <f t="shared" si="44"/>
        <v>0</v>
      </c>
      <c r="AC91" s="208"/>
      <c r="AD91" s="208">
        <f t="shared" si="45"/>
        <v>0</v>
      </c>
      <c r="AE91" s="208"/>
      <c r="AF91" s="208">
        <f t="shared" si="46"/>
        <v>0</v>
      </c>
      <c r="AG91" s="208"/>
      <c r="AH91" s="208">
        <f t="shared" si="47"/>
        <v>0</v>
      </c>
      <c r="AI91" s="208"/>
      <c r="AJ91" s="208">
        <f t="shared" si="48"/>
        <v>0</v>
      </c>
      <c r="AK91" s="208"/>
      <c r="AL91" s="208">
        <f t="shared" si="49"/>
        <v>0</v>
      </c>
    </row>
    <row r="92" spans="2:53" x14ac:dyDescent="0.35">
      <c r="B92" s="168">
        <f t="shared" si="50"/>
        <v>32</v>
      </c>
      <c r="C92" s="169"/>
      <c r="D92" s="168">
        <f t="shared" si="51"/>
        <v>1</v>
      </c>
      <c r="E92" s="171"/>
      <c r="F92" s="168" t="str">
        <f t="shared" si="33"/>
        <v>x</v>
      </c>
      <c r="G92" s="169"/>
      <c r="H92" s="169" t="str">
        <f t="shared" si="52"/>
        <v>x</v>
      </c>
      <c r="I92" s="169"/>
      <c r="J92" s="208">
        <f t="shared" si="35"/>
        <v>0</v>
      </c>
      <c r="K92" s="208"/>
      <c r="L92" s="208">
        <f t="shared" si="36"/>
        <v>0</v>
      </c>
      <c r="M92" s="208"/>
      <c r="N92" s="208">
        <f t="shared" si="37"/>
        <v>0</v>
      </c>
      <c r="O92" s="208"/>
      <c r="P92" s="208">
        <f t="shared" si="38"/>
        <v>0</v>
      </c>
      <c r="Q92" s="208"/>
      <c r="R92" s="208">
        <f t="shared" si="39"/>
        <v>0</v>
      </c>
      <c r="S92" s="208"/>
      <c r="T92" s="208">
        <f t="shared" si="40"/>
        <v>0</v>
      </c>
      <c r="U92" s="208"/>
      <c r="V92" s="208">
        <f t="shared" si="41"/>
        <v>0</v>
      </c>
      <c r="W92" s="208"/>
      <c r="X92" s="208">
        <f t="shared" si="42"/>
        <v>0</v>
      </c>
      <c r="Y92" s="208"/>
      <c r="Z92" s="208">
        <f t="shared" si="43"/>
        <v>0</v>
      </c>
      <c r="AA92" s="208"/>
      <c r="AB92" s="208">
        <f t="shared" si="44"/>
        <v>0</v>
      </c>
      <c r="AC92" s="208"/>
      <c r="AD92" s="208">
        <f t="shared" si="45"/>
        <v>0</v>
      </c>
      <c r="AE92" s="208"/>
      <c r="AF92" s="208">
        <f t="shared" si="46"/>
        <v>0</v>
      </c>
      <c r="AG92" s="208"/>
      <c r="AH92" s="208">
        <f t="shared" si="47"/>
        <v>0</v>
      </c>
      <c r="AI92" s="208"/>
      <c r="AJ92" s="208">
        <f t="shared" si="48"/>
        <v>0</v>
      </c>
      <c r="AK92" s="208"/>
      <c r="AL92" s="208">
        <f t="shared" si="49"/>
        <v>0</v>
      </c>
    </row>
    <row r="93" spans="2:53" x14ac:dyDescent="0.35">
      <c r="B93" s="168">
        <f t="shared" si="50"/>
        <v>33</v>
      </c>
      <c r="C93" s="169"/>
      <c r="D93" s="168">
        <f t="shared" si="51"/>
        <v>1</v>
      </c>
      <c r="E93" s="171"/>
      <c r="F93" s="168" t="str">
        <f t="shared" si="33"/>
        <v>x</v>
      </c>
      <c r="G93" s="169"/>
      <c r="H93" s="169" t="str">
        <f t="shared" ref="H93:H100" si="53">+H43</f>
        <v>x</v>
      </c>
      <c r="I93" s="169"/>
      <c r="J93" s="208">
        <f t="shared" si="35"/>
        <v>0</v>
      </c>
      <c r="K93" s="208"/>
      <c r="L93" s="208">
        <f t="shared" si="36"/>
        <v>0</v>
      </c>
      <c r="M93" s="208"/>
      <c r="N93" s="208">
        <f t="shared" si="37"/>
        <v>0</v>
      </c>
      <c r="O93" s="208"/>
      <c r="P93" s="208">
        <f t="shared" si="38"/>
        <v>0</v>
      </c>
      <c r="Q93" s="208"/>
      <c r="R93" s="208">
        <f t="shared" si="39"/>
        <v>0</v>
      </c>
      <c r="S93" s="208"/>
      <c r="T93" s="208">
        <f t="shared" si="40"/>
        <v>0</v>
      </c>
      <c r="U93" s="208"/>
      <c r="V93" s="208">
        <f t="shared" si="41"/>
        <v>0</v>
      </c>
      <c r="W93" s="208"/>
      <c r="X93" s="208">
        <f t="shared" si="42"/>
        <v>0</v>
      </c>
      <c r="Y93" s="208"/>
      <c r="Z93" s="208">
        <f t="shared" si="43"/>
        <v>0</v>
      </c>
      <c r="AA93" s="208"/>
      <c r="AB93" s="208">
        <f t="shared" si="44"/>
        <v>0</v>
      </c>
      <c r="AC93" s="208"/>
      <c r="AD93" s="208">
        <f t="shared" si="45"/>
        <v>0</v>
      </c>
      <c r="AE93" s="208"/>
      <c r="AF93" s="208">
        <f t="shared" si="46"/>
        <v>0</v>
      </c>
      <c r="AG93" s="208"/>
      <c r="AH93" s="208">
        <f t="shared" si="47"/>
        <v>0</v>
      </c>
      <c r="AI93" s="208"/>
      <c r="AJ93" s="208">
        <f t="shared" si="48"/>
        <v>0</v>
      </c>
      <c r="AK93" s="208"/>
      <c r="AL93" s="208">
        <f t="shared" si="49"/>
        <v>0</v>
      </c>
    </row>
    <row r="94" spans="2:53" x14ac:dyDescent="0.35">
      <c r="B94" s="135">
        <f t="shared" si="50"/>
        <v>34</v>
      </c>
      <c r="D94" s="135">
        <f t="shared" si="51"/>
        <v>1</v>
      </c>
      <c r="F94" s="135" t="str">
        <f t="shared" si="33"/>
        <v>x</v>
      </c>
      <c r="H94" s="136" t="str">
        <f t="shared" si="53"/>
        <v>x</v>
      </c>
      <c r="J94" s="210">
        <f t="shared" si="35"/>
        <v>0</v>
      </c>
      <c r="K94" s="210"/>
      <c r="L94" s="210">
        <f t="shared" si="36"/>
        <v>0</v>
      </c>
      <c r="M94" s="210"/>
      <c r="N94" s="210">
        <f t="shared" si="37"/>
        <v>0</v>
      </c>
      <c r="O94" s="210"/>
      <c r="P94" s="210">
        <f t="shared" si="38"/>
        <v>0</v>
      </c>
      <c r="Q94" s="210"/>
      <c r="R94" s="210">
        <f t="shared" si="39"/>
        <v>0</v>
      </c>
      <c r="S94" s="210"/>
      <c r="T94" s="210">
        <f t="shared" si="40"/>
        <v>0</v>
      </c>
      <c r="U94" s="210"/>
      <c r="V94" s="210">
        <f t="shared" si="41"/>
        <v>0</v>
      </c>
      <c r="W94" s="210"/>
      <c r="X94" s="210">
        <f t="shared" si="42"/>
        <v>0</v>
      </c>
      <c r="Y94" s="210"/>
      <c r="Z94" s="210">
        <f t="shared" si="43"/>
        <v>0</v>
      </c>
      <c r="AA94" s="210"/>
      <c r="AB94" s="210">
        <f t="shared" si="44"/>
        <v>0</v>
      </c>
      <c r="AC94" s="210"/>
      <c r="AD94" s="210">
        <f t="shared" si="45"/>
        <v>0</v>
      </c>
      <c r="AE94" s="210"/>
      <c r="AF94" s="210">
        <f t="shared" si="46"/>
        <v>0</v>
      </c>
      <c r="AG94" s="210"/>
      <c r="AH94" s="210">
        <f t="shared" si="47"/>
        <v>0</v>
      </c>
      <c r="AI94" s="210"/>
      <c r="AJ94" s="210">
        <f t="shared" si="48"/>
        <v>0</v>
      </c>
      <c r="AK94" s="210"/>
      <c r="AL94" s="210">
        <f t="shared" si="49"/>
        <v>0</v>
      </c>
    </row>
    <row r="95" spans="2:53" x14ac:dyDescent="0.35">
      <c r="B95" s="135">
        <f t="shared" si="50"/>
        <v>35</v>
      </c>
      <c r="D95" s="135">
        <f t="shared" si="51"/>
        <v>1</v>
      </c>
      <c r="F95" s="135" t="str">
        <f t="shared" si="33"/>
        <v>x</v>
      </c>
      <c r="H95" s="136" t="str">
        <f t="shared" si="53"/>
        <v>x</v>
      </c>
      <c r="J95" s="210">
        <f t="shared" si="35"/>
        <v>0</v>
      </c>
      <c r="K95" s="210"/>
      <c r="L95" s="210">
        <f t="shared" si="36"/>
        <v>0</v>
      </c>
      <c r="M95" s="210"/>
      <c r="N95" s="210">
        <f t="shared" si="37"/>
        <v>0</v>
      </c>
      <c r="O95" s="210"/>
      <c r="P95" s="210">
        <f t="shared" si="38"/>
        <v>0</v>
      </c>
      <c r="Q95" s="210"/>
      <c r="R95" s="210">
        <f t="shared" si="39"/>
        <v>0</v>
      </c>
      <c r="S95" s="210"/>
      <c r="T95" s="210">
        <f t="shared" si="40"/>
        <v>0</v>
      </c>
      <c r="U95" s="210"/>
      <c r="V95" s="210">
        <f t="shared" si="41"/>
        <v>0</v>
      </c>
      <c r="W95" s="210"/>
      <c r="X95" s="210">
        <f t="shared" si="42"/>
        <v>0</v>
      </c>
      <c r="Y95" s="210"/>
      <c r="Z95" s="210">
        <f t="shared" si="43"/>
        <v>0</v>
      </c>
      <c r="AA95" s="210"/>
      <c r="AB95" s="210">
        <f t="shared" si="44"/>
        <v>0</v>
      </c>
      <c r="AC95" s="210"/>
      <c r="AD95" s="210">
        <f t="shared" si="45"/>
        <v>0</v>
      </c>
      <c r="AE95" s="210"/>
      <c r="AF95" s="210">
        <f t="shared" si="46"/>
        <v>0</v>
      </c>
      <c r="AG95" s="210"/>
      <c r="AH95" s="210">
        <f t="shared" si="47"/>
        <v>0</v>
      </c>
      <c r="AI95" s="210"/>
      <c r="AJ95" s="210">
        <f t="shared" si="48"/>
        <v>0</v>
      </c>
      <c r="AK95" s="210"/>
      <c r="AL95" s="210">
        <f t="shared" si="49"/>
        <v>0</v>
      </c>
    </row>
    <row r="96" spans="2:53" x14ac:dyDescent="0.35">
      <c r="B96" s="135">
        <f t="shared" si="50"/>
        <v>36</v>
      </c>
      <c r="D96" s="135">
        <f t="shared" si="51"/>
        <v>1</v>
      </c>
      <c r="F96" s="135" t="str">
        <f t="shared" si="33"/>
        <v>x</v>
      </c>
      <c r="H96" s="136" t="str">
        <f t="shared" si="53"/>
        <v>x</v>
      </c>
      <c r="J96" s="210">
        <f t="shared" si="35"/>
        <v>0</v>
      </c>
      <c r="K96" s="210"/>
      <c r="L96" s="210">
        <f t="shared" si="36"/>
        <v>0</v>
      </c>
      <c r="M96" s="210"/>
      <c r="N96" s="210">
        <f t="shared" si="37"/>
        <v>0</v>
      </c>
      <c r="O96" s="210"/>
      <c r="P96" s="210">
        <f t="shared" si="38"/>
        <v>0</v>
      </c>
      <c r="Q96" s="210"/>
      <c r="R96" s="210">
        <f t="shared" si="39"/>
        <v>0</v>
      </c>
      <c r="S96" s="210"/>
      <c r="T96" s="210">
        <f t="shared" si="40"/>
        <v>0</v>
      </c>
      <c r="U96" s="210"/>
      <c r="V96" s="210">
        <f t="shared" si="41"/>
        <v>0</v>
      </c>
      <c r="W96" s="210"/>
      <c r="X96" s="210">
        <f t="shared" si="42"/>
        <v>0</v>
      </c>
      <c r="Y96" s="210"/>
      <c r="Z96" s="210">
        <f t="shared" si="43"/>
        <v>0</v>
      </c>
      <c r="AA96" s="210"/>
      <c r="AB96" s="210">
        <f t="shared" si="44"/>
        <v>0</v>
      </c>
      <c r="AC96" s="210"/>
      <c r="AD96" s="210">
        <f t="shared" si="45"/>
        <v>0</v>
      </c>
      <c r="AE96" s="210"/>
      <c r="AF96" s="210">
        <f t="shared" si="46"/>
        <v>0</v>
      </c>
      <c r="AG96" s="210"/>
      <c r="AH96" s="210">
        <f t="shared" si="47"/>
        <v>0</v>
      </c>
      <c r="AI96" s="210"/>
      <c r="AJ96" s="210">
        <f t="shared" si="48"/>
        <v>0</v>
      </c>
      <c r="AK96" s="210"/>
      <c r="AL96" s="210">
        <f t="shared" si="49"/>
        <v>0</v>
      </c>
    </row>
    <row r="97" spans="2:42" x14ac:dyDescent="0.35">
      <c r="B97" s="168">
        <f t="shared" si="50"/>
        <v>37</v>
      </c>
      <c r="C97" s="169"/>
      <c r="D97" s="168">
        <f t="shared" si="51"/>
        <v>1</v>
      </c>
      <c r="E97" s="171"/>
      <c r="F97" s="168" t="str">
        <f t="shared" si="33"/>
        <v>x</v>
      </c>
      <c r="G97" s="169"/>
      <c r="H97" s="169" t="str">
        <f t="shared" si="53"/>
        <v>x</v>
      </c>
      <c r="I97" s="169"/>
      <c r="J97" s="208">
        <f t="shared" si="35"/>
        <v>0</v>
      </c>
      <c r="K97" s="208"/>
      <c r="L97" s="208">
        <f t="shared" si="36"/>
        <v>0</v>
      </c>
      <c r="M97" s="208"/>
      <c r="N97" s="208">
        <f t="shared" si="37"/>
        <v>0</v>
      </c>
      <c r="O97" s="208"/>
      <c r="P97" s="208">
        <f t="shared" si="38"/>
        <v>0</v>
      </c>
      <c r="Q97" s="208"/>
      <c r="R97" s="208">
        <f t="shared" si="39"/>
        <v>0</v>
      </c>
      <c r="S97" s="208"/>
      <c r="T97" s="208">
        <f t="shared" si="40"/>
        <v>0</v>
      </c>
      <c r="U97" s="208"/>
      <c r="V97" s="208">
        <f t="shared" si="41"/>
        <v>0</v>
      </c>
      <c r="W97" s="208"/>
      <c r="X97" s="208">
        <f t="shared" si="42"/>
        <v>0</v>
      </c>
      <c r="Y97" s="208"/>
      <c r="Z97" s="208">
        <f t="shared" si="43"/>
        <v>0</v>
      </c>
      <c r="AA97" s="208"/>
      <c r="AB97" s="208">
        <f t="shared" si="44"/>
        <v>0</v>
      </c>
      <c r="AC97" s="208"/>
      <c r="AD97" s="208">
        <f t="shared" si="45"/>
        <v>0</v>
      </c>
      <c r="AE97" s="208"/>
      <c r="AF97" s="208">
        <f t="shared" si="46"/>
        <v>0</v>
      </c>
      <c r="AG97" s="208"/>
      <c r="AH97" s="208">
        <f t="shared" si="47"/>
        <v>0</v>
      </c>
      <c r="AI97" s="208"/>
      <c r="AJ97" s="208">
        <f t="shared" si="48"/>
        <v>0</v>
      </c>
      <c r="AK97" s="208"/>
      <c r="AL97" s="208">
        <f t="shared" si="49"/>
        <v>0</v>
      </c>
    </row>
    <row r="98" spans="2:42" x14ac:dyDescent="0.35">
      <c r="B98" s="168">
        <f t="shared" si="50"/>
        <v>38</v>
      </c>
      <c r="C98" s="169"/>
      <c r="D98" s="168">
        <f t="shared" si="51"/>
        <v>1</v>
      </c>
      <c r="E98" s="171"/>
      <c r="F98" s="168" t="str">
        <f t="shared" si="33"/>
        <v>x</v>
      </c>
      <c r="G98" s="169"/>
      <c r="H98" s="169" t="str">
        <f t="shared" si="53"/>
        <v>x</v>
      </c>
      <c r="I98" s="169"/>
      <c r="J98" s="208">
        <f t="shared" si="35"/>
        <v>0</v>
      </c>
      <c r="K98" s="208"/>
      <c r="L98" s="208">
        <f t="shared" si="36"/>
        <v>0</v>
      </c>
      <c r="M98" s="208"/>
      <c r="N98" s="208">
        <f t="shared" si="37"/>
        <v>0</v>
      </c>
      <c r="O98" s="208"/>
      <c r="P98" s="208">
        <f t="shared" si="38"/>
        <v>0</v>
      </c>
      <c r="Q98" s="208"/>
      <c r="R98" s="208">
        <f t="shared" si="39"/>
        <v>0</v>
      </c>
      <c r="S98" s="208"/>
      <c r="T98" s="208">
        <f t="shared" si="40"/>
        <v>0</v>
      </c>
      <c r="U98" s="208"/>
      <c r="V98" s="208">
        <f t="shared" si="41"/>
        <v>0</v>
      </c>
      <c r="W98" s="208"/>
      <c r="X98" s="208">
        <f t="shared" si="42"/>
        <v>0</v>
      </c>
      <c r="Y98" s="208"/>
      <c r="Z98" s="208">
        <f t="shared" si="43"/>
        <v>0</v>
      </c>
      <c r="AA98" s="208"/>
      <c r="AB98" s="208">
        <f t="shared" si="44"/>
        <v>0</v>
      </c>
      <c r="AC98" s="208"/>
      <c r="AD98" s="208">
        <f t="shared" si="45"/>
        <v>0</v>
      </c>
      <c r="AE98" s="208"/>
      <c r="AF98" s="208">
        <f t="shared" si="46"/>
        <v>0</v>
      </c>
      <c r="AG98" s="208"/>
      <c r="AH98" s="208">
        <f t="shared" si="47"/>
        <v>0</v>
      </c>
      <c r="AI98" s="208"/>
      <c r="AJ98" s="208">
        <f t="shared" si="48"/>
        <v>0</v>
      </c>
      <c r="AK98" s="208"/>
      <c r="AL98" s="208">
        <f t="shared" si="49"/>
        <v>0</v>
      </c>
    </row>
    <row r="99" spans="2:42" x14ac:dyDescent="0.35">
      <c r="B99" s="168">
        <f t="shared" si="50"/>
        <v>39</v>
      </c>
      <c r="C99" s="169"/>
      <c r="D99" s="168">
        <f t="shared" si="51"/>
        <v>1</v>
      </c>
      <c r="E99" s="171"/>
      <c r="F99" s="168" t="str">
        <f t="shared" si="33"/>
        <v>x</v>
      </c>
      <c r="G99" s="169"/>
      <c r="H99" s="169" t="str">
        <f t="shared" si="53"/>
        <v>x</v>
      </c>
      <c r="I99" s="169"/>
      <c r="J99" s="208">
        <f t="shared" si="35"/>
        <v>0</v>
      </c>
      <c r="K99" s="208"/>
      <c r="L99" s="208">
        <f t="shared" si="36"/>
        <v>0</v>
      </c>
      <c r="M99" s="208"/>
      <c r="N99" s="208">
        <f t="shared" si="37"/>
        <v>0</v>
      </c>
      <c r="O99" s="208"/>
      <c r="P99" s="208">
        <f t="shared" si="38"/>
        <v>0</v>
      </c>
      <c r="Q99" s="208"/>
      <c r="R99" s="208">
        <f t="shared" si="39"/>
        <v>0</v>
      </c>
      <c r="S99" s="208"/>
      <c r="T99" s="208">
        <f t="shared" si="40"/>
        <v>0</v>
      </c>
      <c r="U99" s="208"/>
      <c r="V99" s="208">
        <f t="shared" si="41"/>
        <v>0</v>
      </c>
      <c r="W99" s="208"/>
      <c r="X99" s="208">
        <f t="shared" si="42"/>
        <v>0</v>
      </c>
      <c r="Y99" s="208"/>
      <c r="Z99" s="208">
        <f t="shared" si="43"/>
        <v>0</v>
      </c>
      <c r="AA99" s="208"/>
      <c r="AB99" s="208">
        <f t="shared" si="44"/>
        <v>0</v>
      </c>
      <c r="AC99" s="208"/>
      <c r="AD99" s="208">
        <f t="shared" si="45"/>
        <v>0</v>
      </c>
      <c r="AE99" s="208"/>
      <c r="AF99" s="208">
        <f t="shared" si="46"/>
        <v>0</v>
      </c>
      <c r="AG99" s="208"/>
      <c r="AH99" s="208">
        <f t="shared" si="47"/>
        <v>0</v>
      </c>
      <c r="AI99" s="208"/>
      <c r="AJ99" s="208">
        <f t="shared" si="48"/>
        <v>0</v>
      </c>
      <c r="AK99" s="208"/>
      <c r="AL99" s="208">
        <f t="shared" si="49"/>
        <v>0</v>
      </c>
    </row>
    <row r="100" spans="2:42" s="181" customFormat="1" x14ac:dyDescent="0.35">
      <c r="B100" s="180">
        <f t="shared" si="50"/>
        <v>40</v>
      </c>
      <c r="D100" s="180">
        <f t="shared" si="51"/>
        <v>1</v>
      </c>
      <c r="E100" s="183"/>
      <c r="F100" s="135" t="str">
        <f t="shared" si="33"/>
        <v>x</v>
      </c>
      <c r="H100" s="181" t="str">
        <f t="shared" si="53"/>
        <v>x</v>
      </c>
      <c r="J100" s="213">
        <f t="shared" si="35"/>
        <v>0</v>
      </c>
      <c r="K100" s="213"/>
      <c r="L100" s="213">
        <f t="shared" si="36"/>
        <v>0</v>
      </c>
      <c r="M100" s="213"/>
      <c r="N100" s="213">
        <f t="shared" si="37"/>
        <v>0</v>
      </c>
      <c r="O100" s="213"/>
      <c r="P100" s="213">
        <f t="shared" si="38"/>
        <v>0</v>
      </c>
      <c r="Q100" s="213"/>
      <c r="R100" s="213">
        <f t="shared" si="39"/>
        <v>0</v>
      </c>
      <c r="S100" s="213"/>
      <c r="T100" s="213">
        <f t="shared" si="40"/>
        <v>0</v>
      </c>
      <c r="U100" s="213"/>
      <c r="V100" s="213">
        <f t="shared" si="41"/>
        <v>0</v>
      </c>
      <c r="W100" s="213"/>
      <c r="X100" s="213">
        <f t="shared" si="42"/>
        <v>0</v>
      </c>
      <c r="Y100" s="213"/>
      <c r="Z100" s="213">
        <f t="shared" si="43"/>
        <v>0</v>
      </c>
      <c r="AA100" s="213"/>
      <c r="AB100" s="213">
        <f t="shared" si="44"/>
        <v>0</v>
      </c>
      <c r="AC100" s="213"/>
      <c r="AD100" s="213">
        <f t="shared" si="45"/>
        <v>0</v>
      </c>
      <c r="AE100" s="213"/>
      <c r="AF100" s="213">
        <f t="shared" si="46"/>
        <v>0</v>
      </c>
      <c r="AG100" s="213"/>
      <c r="AH100" s="213">
        <f t="shared" si="47"/>
        <v>0</v>
      </c>
      <c r="AI100" s="213"/>
      <c r="AJ100" s="213">
        <f t="shared" si="48"/>
        <v>0</v>
      </c>
      <c r="AK100" s="213"/>
      <c r="AL100" s="213">
        <f t="shared" si="49"/>
        <v>0</v>
      </c>
    </row>
    <row r="101" spans="2:42" ht="9.9499999999999993" customHeight="1" x14ac:dyDescent="0.35">
      <c r="D101" s="135"/>
      <c r="J101" s="215"/>
      <c r="K101" s="210"/>
      <c r="L101" s="215"/>
      <c r="M101" s="210"/>
      <c r="N101" s="215"/>
      <c r="O101" s="210"/>
      <c r="P101" s="215"/>
      <c r="Q101" s="210"/>
      <c r="R101" s="215"/>
      <c r="S101" s="210"/>
      <c r="T101" s="215"/>
      <c r="U101" s="210"/>
      <c r="V101" s="215"/>
      <c r="W101" s="210"/>
      <c r="X101" s="215"/>
      <c r="Y101" s="210"/>
      <c r="Z101" s="215"/>
      <c r="AA101" s="210"/>
      <c r="AB101" s="215"/>
      <c r="AC101" s="210"/>
      <c r="AD101" s="215"/>
      <c r="AE101" s="210"/>
      <c r="AF101" s="215"/>
      <c r="AG101" s="210"/>
      <c r="AH101" s="215"/>
      <c r="AI101" s="210"/>
      <c r="AJ101" s="215"/>
      <c r="AK101" s="210"/>
      <c r="AL101" s="215"/>
    </row>
    <row r="102" spans="2:42" ht="24" thickBot="1" x14ac:dyDescent="0.4">
      <c r="D102" s="135"/>
      <c r="H102" s="141" t="str">
        <f>+H52</f>
        <v>Anticipated Expenditures, By Year</v>
      </c>
      <c r="J102" s="216">
        <f>SUM(J61:J100)</f>
        <v>0</v>
      </c>
      <c r="K102" s="217"/>
      <c r="L102" s="216">
        <f>SUM(L61:L100)</f>
        <v>0</v>
      </c>
      <c r="M102" s="217"/>
      <c r="N102" s="216">
        <f>SUM(N61:N100)</f>
        <v>0</v>
      </c>
      <c r="O102" s="217"/>
      <c r="P102" s="216">
        <f>SUM(P61:P100)</f>
        <v>0</v>
      </c>
      <c r="Q102" s="217"/>
      <c r="R102" s="216">
        <f>SUM(R61:R100)</f>
        <v>0</v>
      </c>
      <c r="S102" s="217"/>
      <c r="T102" s="216">
        <f>SUM(T61:T100)</f>
        <v>0</v>
      </c>
      <c r="U102" s="217"/>
      <c r="V102" s="216">
        <f>SUM(V61:V100)</f>
        <v>0</v>
      </c>
      <c r="W102" s="217"/>
      <c r="X102" s="216">
        <f>SUM(X61:X100)</f>
        <v>0</v>
      </c>
      <c r="Y102" s="217"/>
      <c r="Z102" s="216">
        <f>SUM(Z61:Z100)</f>
        <v>0</v>
      </c>
      <c r="AA102" s="217"/>
      <c r="AB102" s="216">
        <f>SUM(AB61:AB100)</f>
        <v>0</v>
      </c>
      <c r="AC102" s="217"/>
      <c r="AD102" s="216">
        <f>SUM(AD61:AD100)</f>
        <v>0</v>
      </c>
      <c r="AE102" s="217"/>
      <c r="AF102" s="216">
        <f>SUM(AF61:AF100)</f>
        <v>0</v>
      </c>
      <c r="AG102" s="217"/>
      <c r="AH102" s="216">
        <f>SUM(AH61:AH100)</f>
        <v>0</v>
      </c>
      <c r="AI102" s="217"/>
      <c r="AJ102" s="216">
        <f>SUM(AJ61:AJ100)</f>
        <v>0</v>
      </c>
      <c r="AK102" s="217"/>
      <c r="AL102" s="216">
        <f>SUM(AL61:AL100)</f>
        <v>0</v>
      </c>
      <c r="AN102" s="178"/>
      <c r="AP102" s="178"/>
    </row>
    <row r="103" spans="2:42" ht="24" thickTop="1" x14ac:dyDescent="0.35">
      <c r="D103" s="135"/>
      <c r="J103" s="178"/>
      <c r="K103" s="178"/>
      <c r="L103" s="178"/>
      <c r="M103" s="178"/>
      <c r="N103" s="178"/>
      <c r="O103" s="178"/>
      <c r="P103" s="178"/>
      <c r="Q103" s="178"/>
      <c r="R103" s="178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  <c r="AL103" s="207"/>
    </row>
    <row r="104" spans="2:42" x14ac:dyDescent="0.35">
      <c r="D104" s="135"/>
      <c r="J104" s="178"/>
      <c r="K104" s="178"/>
      <c r="L104" s="178"/>
      <c r="M104" s="178"/>
      <c r="N104" s="178"/>
      <c r="O104" s="178"/>
      <c r="P104" s="178"/>
      <c r="Q104" s="178"/>
      <c r="R104" s="178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</row>
    <row r="105" spans="2:42" x14ac:dyDescent="0.35">
      <c r="D105" s="135"/>
      <c r="J105" s="178"/>
      <c r="K105" s="178"/>
      <c r="L105" s="178"/>
      <c r="M105" s="178"/>
      <c r="N105" s="178"/>
      <c r="O105" s="178"/>
      <c r="P105" s="178"/>
      <c r="Q105" s="178"/>
      <c r="R105" s="178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  <c r="AL105" s="207"/>
    </row>
    <row r="106" spans="2:42" x14ac:dyDescent="0.35">
      <c r="D106" s="135"/>
      <c r="J106" s="178"/>
      <c r="K106" s="178"/>
      <c r="L106" s="178"/>
      <c r="M106" s="178"/>
      <c r="N106" s="178"/>
      <c r="O106" s="178"/>
      <c r="P106" s="178"/>
      <c r="Q106" s="178"/>
      <c r="R106" s="178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  <c r="AL106" s="207"/>
    </row>
    <row r="107" spans="2:42" x14ac:dyDescent="0.35">
      <c r="D107" s="135"/>
      <c r="J107" s="178"/>
      <c r="K107" s="178"/>
      <c r="L107" s="178"/>
      <c r="M107" s="178"/>
      <c r="N107" s="178"/>
      <c r="O107" s="178"/>
      <c r="P107" s="178"/>
      <c r="Q107" s="178"/>
      <c r="R107" s="178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  <c r="AL107" s="207"/>
    </row>
    <row r="108" spans="2:42" x14ac:dyDescent="0.35">
      <c r="D108" s="135"/>
      <c r="J108" s="178"/>
      <c r="K108" s="178"/>
      <c r="L108" s="178"/>
      <c r="M108" s="178"/>
      <c r="N108" s="178"/>
      <c r="O108" s="178"/>
      <c r="P108" s="178"/>
      <c r="Q108" s="178"/>
      <c r="R108" s="178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  <c r="AL108" s="207"/>
    </row>
    <row r="109" spans="2:42" x14ac:dyDescent="0.35">
      <c r="D109" s="135"/>
      <c r="J109" s="178"/>
      <c r="K109" s="178"/>
      <c r="L109" s="178"/>
      <c r="M109" s="178"/>
      <c r="N109" s="178"/>
      <c r="O109" s="178"/>
      <c r="P109" s="178"/>
      <c r="Q109" s="178"/>
      <c r="R109" s="178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  <c r="AL109" s="207"/>
    </row>
    <row r="110" spans="2:42" x14ac:dyDescent="0.35">
      <c r="D110" s="135"/>
      <c r="J110" s="178"/>
      <c r="K110" s="178"/>
      <c r="L110" s="178"/>
      <c r="M110" s="178"/>
      <c r="N110" s="178"/>
      <c r="O110" s="178"/>
      <c r="P110" s="178"/>
      <c r="Q110" s="178"/>
      <c r="R110" s="178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  <c r="AL110" s="207"/>
    </row>
    <row r="111" spans="2:42" x14ac:dyDescent="0.35">
      <c r="D111" s="135"/>
      <c r="J111" s="178"/>
      <c r="K111" s="178"/>
      <c r="L111" s="178"/>
      <c r="M111" s="178"/>
      <c r="N111" s="178"/>
      <c r="O111" s="178"/>
      <c r="P111" s="178"/>
      <c r="Q111" s="178"/>
      <c r="R111" s="178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</row>
    <row r="112" spans="2:42" x14ac:dyDescent="0.35">
      <c r="D112" s="135"/>
      <c r="J112" s="178"/>
      <c r="K112" s="178"/>
      <c r="L112" s="178"/>
      <c r="M112" s="178"/>
      <c r="N112" s="178"/>
      <c r="O112" s="178"/>
      <c r="P112" s="178"/>
      <c r="Q112" s="178"/>
      <c r="R112" s="178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  <c r="AL112" s="207"/>
    </row>
    <row r="113" spans="4:38" x14ac:dyDescent="0.35">
      <c r="D113" s="135"/>
      <c r="J113" s="178"/>
      <c r="K113" s="178"/>
      <c r="L113" s="178"/>
      <c r="M113" s="178"/>
      <c r="N113" s="178"/>
      <c r="O113" s="178"/>
      <c r="P113" s="178"/>
      <c r="Q113" s="178"/>
      <c r="R113" s="178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  <c r="AL113" s="207"/>
    </row>
    <row r="114" spans="4:38" x14ac:dyDescent="0.35">
      <c r="D114" s="135"/>
      <c r="J114" s="178"/>
      <c r="K114" s="178"/>
      <c r="L114" s="178"/>
      <c r="M114" s="178"/>
      <c r="N114" s="178"/>
      <c r="O114" s="178"/>
      <c r="P114" s="178"/>
      <c r="Q114" s="178"/>
      <c r="R114" s="178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  <c r="AL114" s="207"/>
    </row>
  </sheetData>
  <mergeCells count="8">
    <mergeCell ref="V6:V7"/>
    <mergeCell ref="B56:B57"/>
    <mergeCell ref="B6:B7"/>
    <mergeCell ref="J6:J7"/>
    <mergeCell ref="L6:N6"/>
    <mergeCell ref="P6:P7"/>
    <mergeCell ref="R6:R7"/>
    <mergeCell ref="T6:T7"/>
  </mergeCells>
  <printOptions horizontalCentered="1"/>
  <pageMargins left="0.25" right="0.25" top="0.75" bottom="0.75" header="0.3" footer="0.3"/>
  <pageSetup paperSize="3" scale="30" orientation="landscape" copies="3" r:id="rId1"/>
  <ignoredErrors>
    <ignoredError sqref="Q12:Q22 Q23:Q31 Q32:Q50 Q1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3F62-CD48-4C82-A1F4-625B16DF6E62}">
  <sheetPr>
    <pageSetUpPr fitToPage="1"/>
  </sheetPr>
  <dimension ref="A2:CE77"/>
  <sheetViews>
    <sheetView zoomScale="32" zoomScaleNormal="32" workbookViewId="0">
      <selection activeCell="O4" sqref="O4"/>
    </sheetView>
  </sheetViews>
  <sheetFormatPr defaultRowHeight="23.25" x14ac:dyDescent="0.35"/>
  <cols>
    <col min="1" max="1" width="8" style="135" customWidth="1"/>
    <col min="2" max="2" width="1.7109375" style="136" customWidth="1"/>
    <col min="3" max="3" width="17.85546875" style="178" bestFit="1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90" style="136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28515625" style="135" customWidth="1"/>
    <col min="14" max="14" width="1.7109375" style="136" customWidth="1"/>
    <col min="15" max="15" width="24.5703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20.28515625" style="136" customWidth="1"/>
    <col min="22" max="22" width="1.7109375" style="136" customWidth="1"/>
    <col min="23" max="23" width="19.28515625" style="136" customWidth="1"/>
    <col min="24" max="24" width="1.7109375" style="136" customWidth="1"/>
    <col min="25" max="25" width="19.28515625" style="136" customWidth="1"/>
    <col min="26" max="26" width="1.7109375" style="136" customWidth="1"/>
    <col min="27" max="27" width="19.28515625" style="136" customWidth="1"/>
    <col min="28" max="28" width="1.7109375" style="136" customWidth="1"/>
    <col min="29" max="29" width="19.28515625" style="136" customWidth="1"/>
    <col min="30" max="30" width="1.7109375" style="136" customWidth="1"/>
    <col min="31" max="31" width="19.28515625" style="136" customWidth="1"/>
    <col min="32" max="32" width="1.7109375" style="136" customWidth="1"/>
    <col min="33" max="33" width="19.28515625" style="136" customWidth="1"/>
    <col min="34" max="34" width="1.7109375" style="136" customWidth="1"/>
    <col min="35" max="35" width="19.28515625" style="136" customWidth="1"/>
    <col min="36" max="36" width="1.7109375" style="136" customWidth="1"/>
    <col min="37" max="37" width="19.28515625" style="136" customWidth="1"/>
    <col min="38" max="38" width="1.7109375" style="136" customWidth="1"/>
    <col min="39" max="39" width="19.28515625" style="136" customWidth="1"/>
    <col min="40" max="40" width="1.7109375" style="136" customWidth="1"/>
    <col min="41" max="41" width="19.28515625" style="136" customWidth="1"/>
    <col min="42" max="42" width="1.7109375" style="136" customWidth="1"/>
    <col min="43" max="43" width="19.28515625" style="136" customWidth="1"/>
    <col min="44" max="44" width="1.7109375" style="136" customWidth="1"/>
    <col min="45" max="45" width="19.28515625" style="136" customWidth="1"/>
    <col min="46" max="46" width="1.7109375" style="136" customWidth="1"/>
    <col min="47" max="47" width="19.28515625" style="136" customWidth="1"/>
    <col min="48" max="48" width="1.7109375" style="136" customWidth="1"/>
    <col min="49" max="49" width="19.28515625" style="136" customWidth="1"/>
    <col min="50" max="50" width="1.7109375" style="136" customWidth="1"/>
    <col min="51" max="51" width="19.28515625" style="136" customWidth="1"/>
    <col min="52" max="52" width="1.7109375" style="136" customWidth="1"/>
    <col min="53" max="53" width="13.42578125" style="136" bestFit="1" customWidth="1"/>
    <col min="54" max="54" width="1.7109375" style="136" customWidth="1"/>
    <col min="55" max="55" width="13.42578125" style="136" bestFit="1" customWidth="1"/>
    <col min="56" max="56" width="1.7109375" style="136" customWidth="1"/>
    <col min="57" max="57" width="13.42578125" style="136" bestFit="1" customWidth="1"/>
    <col min="58" max="58" width="1.7109375" style="136" customWidth="1"/>
    <col min="59" max="59" width="13.42578125" style="136" bestFit="1" customWidth="1"/>
    <col min="60" max="60" width="1.7109375" style="136" customWidth="1"/>
    <col min="61" max="61" width="13.42578125" style="136" customWidth="1"/>
    <col min="62" max="62" width="1.7109375" style="136" customWidth="1"/>
    <col min="63" max="63" width="9.140625" style="136"/>
    <col min="64" max="64" width="1.7109375" style="136" customWidth="1"/>
    <col min="65" max="65" width="9.140625" style="136"/>
    <col min="66" max="66" width="1.7109375" style="136" customWidth="1"/>
    <col min="67" max="67" width="9.140625" style="136"/>
    <col min="68" max="68" width="1.7109375" style="136" customWidth="1"/>
    <col min="69" max="69" width="14.5703125" style="136" bestFit="1" customWidth="1"/>
    <col min="70" max="70" width="1.7109375" style="136" customWidth="1"/>
    <col min="71" max="71" width="9.140625" style="136"/>
    <col min="72" max="72" width="1.7109375" style="136" customWidth="1"/>
    <col min="73" max="73" width="9.140625" style="136"/>
    <col min="74" max="74" width="1.7109375" style="136" customWidth="1"/>
    <col min="75" max="75" width="9.140625" style="136"/>
    <col min="76" max="76" width="1.7109375" style="136" customWidth="1"/>
    <col min="77" max="77" width="9.140625" style="136"/>
    <col min="78" max="78" width="1.7109375" style="136" customWidth="1"/>
    <col min="79" max="16384" width="9.140625" style="136"/>
  </cols>
  <sheetData>
    <row r="2" spans="1:83" x14ac:dyDescent="0.35">
      <c r="C2" s="137"/>
    </row>
    <row r="3" spans="1:83" x14ac:dyDescent="0.35">
      <c r="C3" s="137"/>
      <c r="G3" s="142" t="s">
        <v>31</v>
      </c>
    </row>
    <row r="4" spans="1:83" ht="116.45" customHeight="1" x14ac:dyDescent="0.35">
      <c r="C4" s="137"/>
    </row>
    <row r="5" spans="1:83" x14ac:dyDescent="0.35">
      <c r="C5" s="137"/>
      <c r="G5" s="144" t="s">
        <v>8</v>
      </c>
      <c r="O5" s="239"/>
      <c r="U5" s="145" t="s">
        <v>10</v>
      </c>
    </row>
    <row r="6" spans="1:83" x14ac:dyDescent="0.35">
      <c r="C6" s="137"/>
      <c r="G6" s="142" t="s">
        <v>9</v>
      </c>
      <c r="O6" s="239"/>
      <c r="T6" s="146" t="s">
        <v>11</v>
      </c>
      <c r="U6" s="147">
        <f>+'Roofs 1'!V3</f>
        <v>0.03</v>
      </c>
      <c r="V6" s="148" t="s">
        <v>13</v>
      </c>
    </row>
    <row r="7" spans="1:83" x14ac:dyDescent="0.35">
      <c r="C7" s="149"/>
      <c r="E7" s="150"/>
      <c r="F7" s="151"/>
      <c r="G7" s="152" t="str">
        <f>+'Roofs 1'!H5</f>
        <v>Association</v>
      </c>
      <c r="H7" s="151"/>
      <c r="I7" s="150"/>
      <c r="T7" s="146" t="s">
        <v>12</v>
      </c>
      <c r="U7" s="141" t="s">
        <v>17</v>
      </c>
    </row>
    <row r="8" spans="1:83" x14ac:dyDescent="0.35">
      <c r="C8" s="137"/>
    </row>
    <row r="9" spans="1:83" s="141" customFormat="1" ht="28.5" customHeight="1" x14ac:dyDescent="0.35">
      <c r="A9" s="283" t="s">
        <v>0</v>
      </c>
      <c r="C9" s="153" t="s">
        <v>32</v>
      </c>
      <c r="D9" s="138"/>
      <c r="E9" s="142"/>
      <c r="I9" s="281" t="s">
        <v>22</v>
      </c>
      <c r="K9" s="285" t="s">
        <v>5</v>
      </c>
      <c r="L9" s="285"/>
      <c r="M9" s="285"/>
      <c r="O9" s="281" t="s">
        <v>21</v>
      </c>
      <c r="Q9" s="286" t="str">
        <f>+'Roofs 1'!R6</f>
        <v>2024     Unit Cost</v>
      </c>
      <c r="S9" s="288" t="str">
        <f>+'Roofs 1'!T6</f>
        <v xml:space="preserve">2024 Cost of Replacement </v>
      </c>
      <c r="U9" s="281" t="s">
        <v>6</v>
      </c>
      <c r="V9" s="154"/>
      <c r="W9" s="142">
        <v>1</v>
      </c>
      <c r="X9" s="142"/>
      <c r="Y9" s="142">
        <v>2</v>
      </c>
      <c r="Z9" s="142"/>
      <c r="AA9" s="142">
        <v>3</v>
      </c>
      <c r="AB9" s="142"/>
      <c r="AC9" s="142">
        <v>4</v>
      </c>
      <c r="AD9" s="142"/>
      <c r="AE9" s="142">
        <v>5</v>
      </c>
      <c r="AF9" s="142"/>
      <c r="AG9" s="142">
        <v>6</v>
      </c>
      <c r="AH9" s="142"/>
      <c r="AI9" s="142">
        <v>7</v>
      </c>
      <c r="AJ9" s="142"/>
      <c r="AK9" s="142">
        <v>8</v>
      </c>
      <c r="AL9" s="142"/>
      <c r="AM9" s="142">
        <v>9</v>
      </c>
      <c r="AN9" s="142"/>
      <c r="AO9" s="142">
        <v>10</v>
      </c>
      <c r="AP9" s="142"/>
      <c r="AQ9" s="142">
        <v>11</v>
      </c>
      <c r="AR9" s="142"/>
      <c r="AS9" s="142">
        <v>12</v>
      </c>
      <c r="AT9" s="142"/>
      <c r="AU9" s="142">
        <v>13</v>
      </c>
      <c r="AV9" s="142"/>
      <c r="AW9" s="142">
        <v>14</v>
      </c>
      <c r="AX9" s="142"/>
      <c r="AY9" s="142">
        <v>15</v>
      </c>
      <c r="AZ9" s="142"/>
    </row>
    <row r="10" spans="1:83" s="155" customFormat="1" ht="27.75" customHeight="1" x14ac:dyDescent="0.25">
      <c r="A10" s="284"/>
      <c r="C10" s="156" t="s">
        <v>30</v>
      </c>
      <c r="D10" s="157"/>
      <c r="E10" s="158" t="s">
        <v>1</v>
      </c>
      <c r="G10" s="158" t="s">
        <v>2</v>
      </c>
      <c r="I10" s="282"/>
      <c r="K10" s="158" t="s">
        <v>3</v>
      </c>
      <c r="M10" s="159" t="s">
        <v>4</v>
      </c>
      <c r="O10" s="282"/>
      <c r="Q10" s="287"/>
      <c r="S10" s="289"/>
      <c r="U10" s="282"/>
      <c r="V10" s="154"/>
      <c r="W10" s="218">
        <f>+'Roofs 1'!X7</f>
        <v>2024</v>
      </c>
      <c r="X10" s="158"/>
      <c r="Y10" s="158">
        <f t="shared" ref="Y10:AY10" si="0">W10+1</f>
        <v>2025</v>
      </c>
      <c r="Z10" s="158">
        <f t="shared" si="0"/>
        <v>1</v>
      </c>
      <c r="AA10" s="158">
        <f t="shared" si="0"/>
        <v>2026</v>
      </c>
      <c r="AB10" s="158">
        <f t="shared" si="0"/>
        <v>2</v>
      </c>
      <c r="AC10" s="158">
        <f t="shared" si="0"/>
        <v>2027</v>
      </c>
      <c r="AD10" s="158">
        <f t="shared" si="0"/>
        <v>3</v>
      </c>
      <c r="AE10" s="158">
        <f t="shared" si="0"/>
        <v>2028</v>
      </c>
      <c r="AF10" s="158">
        <f t="shared" si="0"/>
        <v>4</v>
      </c>
      <c r="AG10" s="158">
        <f t="shared" si="0"/>
        <v>2029</v>
      </c>
      <c r="AH10" s="158">
        <f t="shared" si="0"/>
        <v>5</v>
      </c>
      <c r="AI10" s="158">
        <f t="shared" si="0"/>
        <v>2030</v>
      </c>
      <c r="AJ10" s="158">
        <f t="shared" si="0"/>
        <v>6</v>
      </c>
      <c r="AK10" s="158">
        <f t="shared" si="0"/>
        <v>2031</v>
      </c>
      <c r="AL10" s="158">
        <f t="shared" si="0"/>
        <v>7</v>
      </c>
      <c r="AM10" s="158">
        <f t="shared" si="0"/>
        <v>2032</v>
      </c>
      <c r="AN10" s="158">
        <f t="shared" si="0"/>
        <v>8</v>
      </c>
      <c r="AO10" s="158">
        <f t="shared" si="0"/>
        <v>2033</v>
      </c>
      <c r="AP10" s="158">
        <f t="shared" si="0"/>
        <v>9</v>
      </c>
      <c r="AQ10" s="158">
        <f t="shared" si="0"/>
        <v>2034</v>
      </c>
      <c r="AR10" s="158">
        <f t="shared" si="0"/>
        <v>10</v>
      </c>
      <c r="AS10" s="158">
        <f t="shared" si="0"/>
        <v>2035</v>
      </c>
      <c r="AT10" s="158">
        <f t="shared" si="0"/>
        <v>11</v>
      </c>
      <c r="AU10" s="158">
        <f t="shared" si="0"/>
        <v>2036</v>
      </c>
      <c r="AV10" s="158">
        <f t="shared" si="0"/>
        <v>12</v>
      </c>
      <c r="AW10" s="158">
        <f t="shared" si="0"/>
        <v>2037</v>
      </c>
      <c r="AX10" s="158">
        <f t="shared" si="0"/>
        <v>13</v>
      </c>
      <c r="AY10" s="158">
        <f t="shared" si="0"/>
        <v>2038</v>
      </c>
    </row>
    <row r="11" spans="1:83" s="155" customFormat="1" ht="9.4" customHeight="1" x14ac:dyDescent="0.25">
      <c r="A11" s="154"/>
      <c r="C11" s="161"/>
      <c r="D11" s="157"/>
      <c r="E11" s="154"/>
      <c r="G11" s="154"/>
      <c r="I11" s="154"/>
      <c r="K11" s="154"/>
      <c r="M11" s="154"/>
      <c r="Q11" s="162"/>
      <c r="S11" s="163"/>
      <c r="U11" s="154"/>
      <c r="V11" s="154"/>
    </row>
    <row r="12" spans="1:83" x14ac:dyDescent="0.35">
      <c r="C12" s="137"/>
      <c r="G12" s="164" t="s">
        <v>46</v>
      </c>
      <c r="O12" s="136"/>
      <c r="Q12" s="139"/>
      <c r="S12" s="140"/>
      <c r="T12" s="136"/>
      <c r="U12" s="141"/>
      <c r="V12" s="141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</row>
    <row r="13" spans="1:83" ht="9.4" customHeight="1" x14ac:dyDescent="0.35">
      <c r="C13" s="137"/>
      <c r="G13" s="144"/>
      <c r="O13" s="136"/>
      <c r="Q13" s="165"/>
      <c r="R13" s="135"/>
      <c r="S13" s="166"/>
      <c r="T13" s="135"/>
      <c r="U13" s="142"/>
      <c r="V13" s="141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167"/>
      <c r="CC13" s="167"/>
      <c r="CD13" s="167"/>
      <c r="CE13" s="167"/>
    </row>
    <row r="14" spans="1:83" ht="23.25" customHeight="1" x14ac:dyDescent="0.35">
      <c r="A14" s="220">
        <f>'Roofs 1'!B50+1</f>
        <v>41</v>
      </c>
      <c r="B14" s="169"/>
      <c r="C14" s="174">
        <v>1</v>
      </c>
      <c r="D14" s="171"/>
      <c r="E14" s="168" t="s">
        <v>45</v>
      </c>
      <c r="F14" s="169"/>
      <c r="G14" s="169" t="s">
        <v>45</v>
      </c>
      <c r="H14" s="169"/>
      <c r="I14" s="168" t="s">
        <v>45</v>
      </c>
      <c r="J14" s="169"/>
      <c r="K14" s="168" t="s">
        <v>45</v>
      </c>
      <c r="L14" s="169"/>
      <c r="M14" s="168">
        <v>1</v>
      </c>
      <c r="N14" s="237">
        <f>'Roofs 1'!P4</f>
        <v>2023</v>
      </c>
      <c r="O14" s="168">
        <v>1</v>
      </c>
      <c r="P14" s="169"/>
      <c r="Q14" s="172">
        <v>1</v>
      </c>
      <c r="R14" s="173"/>
      <c r="S14" s="174">
        <f>C14*Q14</f>
        <v>1</v>
      </c>
      <c r="T14" s="174"/>
      <c r="U14" s="175">
        <f>SUM(W14:AY14)+SUM(I47:AK47)</f>
        <v>47.575415706322005</v>
      </c>
      <c r="V14" s="175"/>
      <c r="W14" s="174">
        <f t="shared" ref="W14:W19" si="1">S14</f>
        <v>1</v>
      </c>
      <c r="X14" s="174"/>
      <c r="Y14" s="174">
        <f t="shared" ref="Y14:Y19" si="2">FV($U$6,W$9,,-$S14,0)</f>
        <v>1.03</v>
      </c>
      <c r="Z14" s="174"/>
      <c r="AA14" s="174">
        <f t="shared" ref="AA14:AA35" si="3">FV($U$6,Y$9,,-$S14,0)</f>
        <v>1.0609</v>
      </c>
      <c r="AB14" s="174"/>
      <c r="AC14" s="174">
        <f t="shared" ref="AC14:AC35" si="4">FV($U$6,AA$9,,-$S14,0)</f>
        <v>1.092727</v>
      </c>
      <c r="AD14" s="174"/>
      <c r="AE14" s="174">
        <f t="shared" ref="AE14:AE35" si="5">FV($U$6,AC$9,,-$S14,0)</f>
        <v>1.1255088099999999</v>
      </c>
      <c r="AF14" s="174"/>
      <c r="AG14" s="174">
        <f t="shared" ref="AG14:AG35" si="6">FV($U$6,AE$9,,-$S14,0)</f>
        <v>1.1592740742999998</v>
      </c>
      <c r="AH14" s="174"/>
      <c r="AI14" s="174">
        <f t="shared" ref="AI14:AI35" si="7">FV($U$6,AG$9,,-$S14,0)</f>
        <v>1.1940522965289999</v>
      </c>
      <c r="AJ14" s="174"/>
      <c r="AK14" s="174">
        <f t="shared" ref="AK14:AK35" si="8">FV($U$6,AI$9,,-$S14,0)</f>
        <v>1.22987386542487</v>
      </c>
      <c r="AL14" s="174"/>
      <c r="AM14" s="174">
        <f t="shared" ref="AM14:AM35" si="9">FV($U$6,AK$9,,-$S14,0)</f>
        <v>1.2667700813876159</v>
      </c>
      <c r="AN14" s="174"/>
      <c r="AO14" s="174">
        <f t="shared" ref="AO14:AO35" si="10">FV($U$6,AM$9,,-$S14,0)</f>
        <v>1.3047731838292445</v>
      </c>
      <c r="AP14" s="174"/>
      <c r="AQ14" s="174">
        <f t="shared" ref="AQ14:AQ35" si="11">FV($U$6,AO$9,,-$S14,0)</f>
        <v>1.3439163793441218</v>
      </c>
      <c r="AR14" s="174"/>
      <c r="AS14" s="174">
        <f t="shared" ref="AS14:AS35" si="12">FV($U$6,AQ$9,,-$S14,0)</f>
        <v>1.3842338707244455</v>
      </c>
      <c r="AT14" s="174"/>
      <c r="AU14" s="174">
        <f t="shared" ref="AU14:AU35" si="13">FV($U$6,AS$9,,-$S14,0)</f>
        <v>1.4257608868461786</v>
      </c>
      <c r="AV14" s="174"/>
      <c r="AW14" s="174">
        <f t="shared" ref="AW14:AW35" si="14">FV($U$6,AU$9,,-$S14,0)</f>
        <v>1.4685337134515639</v>
      </c>
      <c r="AX14" s="174"/>
      <c r="AY14" s="174">
        <f t="shared" ref="AY14:AY35" si="15">FV($U$6,AW$9,,-$S14,0)</f>
        <v>1.512589724855111</v>
      </c>
      <c r="BJ14" s="178"/>
      <c r="BK14" s="221"/>
      <c r="BL14" s="221"/>
      <c r="BM14" s="221"/>
      <c r="BN14" s="221"/>
      <c r="BO14" s="221"/>
      <c r="BP14" s="221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167"/>
      <c r="CC14" s="167"/>
      <c r="CD14" s="167"/>
      <c r="CE14" s="167"/>
    </row>
    <row r="15" spans="1:83" ht="23.25" customHeight="1" x14ac:dyDescent="0.35">
      <c r="A15" s="168">
        <f>+A14+1</f>
        <v>42</v>
      </c>
      <c r="B15" s="169"/>
      <c r="C15" s="174">
        <v>1</v>
      </c>
      <c r="D15" s="171"/>
      <c r="E15" s="168" t="s">
        <v>45</v>
      </c>
      <c r="F15" s="169"/>
      <c r="G15" s="169" t="s">
        <v>45</v>
      </c>
      <c r="H15" s="169"/>
      <c r="I15" s="168" t="s">
        <v>45</v>
      </c>
      <c r="J15" s="169"/>
      <c r="K15" s="168" t="s">
        <v>45</v>
      </c>
      <c r="L15" s="169"/>
      <c r="M15" s="168">
        <v>1</v>
      </c>
      <c r="N15" s="237">
        <f t="shared" ref="N15:N22" si="16">N14</f>
        <v>2023</v>
      </c>
      <c r="O15" s="168">
        <v>1</v>
      </c>
      <c r="P15" s="169"/>
      <c r="Q15" s="172">
        <v>1</v>
      </c>
      <c r="R15" s="173"/>
      <c r="S15" s="174">
        <f t="shared" ref="S15:S35" si="17">C15*Q15</f>
        <v>1</v>
      </c>
      <c r="T15" s="174"/>
      <c r="U15" s="175">
        <f t="shared" ref="U15:U35" si="18">SUM(W15:AY15)+SUM(I48:AK48)</f>
        <v>47.575415706322005</v>
      </c>
      <c r="V15" s="171"/>
      <c r="W15" s="174">
        <f t="shared" si="1"/>
        <v>1</v>
      </c>
      <c r="X15" s="174"/>
      <c r="Y15" s="174">
        <f t="shared" si="2"/>
        <v>1.03</v>
      </c>
      <c r="Z15" s="174"/>
      <c r="AA15" s="174">
        <f t="shared" si="3"/>
        <v>1.0609</v>
      </c>
      <c r="AB15" s="174"/>
      <c r="AC15" s="174">
        <f t="shared" si="4"/>
        <v>1.092727</v>
      </c>
      <c r="AD15" s="174"/>
      <c r="AE15" s="174">
        <f t="shared" si="5"/>
        <v>1.1255088099999999</v>
      </c>
      <c r="AF15" s="174"/>
      <c r="AG15" s="174">
        <f t="shared" si="6"/>
        <v>1.1592740742999998</v>
      </c>
      <c r="AH15" s="174"/>
      <c r="AI15" s="174">
        <f t="shared" si="7"/>
        <v>1.1940522965289999</v>
      </c>
      <c r="AJ15" s="174"/>
      <c r="AK15" s="174">
        <f t="shared" si="8"/>
        <v>1.22987386542487</v>
      </c>
      <c r="AL15" s="174"/>
      <c r="AM15" s="174">
        <f t="shared" si="9"/>
        <v>1.2667700813876159</v>
      </c>
      <c r="AN15" s="174"/>
      <c r="AO15" s="174">
        <f t="shared" si="10"/>
        <v>1.3047731838292445</v>
      </c>
      <c r="AP15" s="174"/>
      <c r="AQ15" s="174">
        <f t="shared" si="11"/>
        <v>1.3439163793441218</v>
      </c>
      <c r="AR15" s="174"/>
      <c r="AS15" s="174">
        <f t="shared" si="12"/>
        <v>1.3842338707244455</v>
      </c>
      <c r="AT15" s="174"/>
      <c r="AU15" s="174">
        <f t="shared" si="13"/>
        <v>1.4257608868461786</v>
      </c>
      <c r="AV15" s="174"/>
      <c r="AW15" s="174">
        <f t="shared" si="14"/>
        <v>1.4685337134515639</v>
      </c>
      <c r="AX15" s="174"/>
      <c r="AY15" s="174">
        <f t="shared" si="15"/>
        <v>1.512589724855111</v>
      </c>
      <c r="BJ15" s="178"/>
      <c r="BK15" s="221"/>
      <c r="BL15" s="221"/>
      <c r="BM15" s="221"/>
      <c r="BN15" s="221"/>
      <c r="BO15" s="221"/>
      <c r="BP15" s="221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167"/>
      <c r="CC15" s="167"/>
      <c r="CD15" s="167"/>
      <c r="CE15" s="167"/>
    </row>
    <row r="16" spans="1:83" ht="23.25" customHeight="1" x14ac:dyDescent="0.35">
      <c r="A16" s="168">
        <f>+A15+1</f>
        <v>43</v>
      </c>
      <c r="B16" s="169"/>
      <c r="C16" s="174">
        <v>1</v>
      </c>
      <c r="D16" s="171"/>
      <c r="E16" s="168" t="s">
        <v>45</v>
      </c>
      <c r="F16" s="169"/>
      <c r="G16" s="169" t="s">
        <v>45</v>
      </c>
      <c r="H16" s="169"/>
      <c r="I16" s="168" t="s">
        <v>45</v>
      </c>
      <c r="J16" s="169"/>
      <c r="K16" s="168" t="s">
        <v>45</v>
      </c>
      <c r="L16" s="169"/>
      <c r="M16" s="168">
        <v>1</v>
      </c>
      <c r="N16" s="237">
        <f t="shared" si="16"/>
        <v>2023</v>
      </c>
      <c r="O16" s="168">
        <v>1</v>
      </c>
      <c r="P16" s="169"/>
      <c r="Q16" s="172">
        <v>1</v>
      </c>
      <c r="R16" s="173"/>
      <c r="S16" s="174">
        <f t="shared" si="17"/>
        <v>1</v>
      </c>
      <c r="T16" s="174"/>
      <c r="U16" s="175">
        <f t="shared" si="18"/>
        <v>47.575415706322005</v>
      </c>
      <c r="V16" s="171"/>
      <c r="W16" s="174">
        <f t="shared" si="1"/>
        <v>1</v>
      </c>
      <c r="X16" s="174"/>
      <c r="Y16" s="174">
        <f t="shared" si="2"/>
        <v>1.03</v>
      </c>
      <c r="Z16" s="174"/>
      <c r="AA16" s="174">
        <f t="shared" si="3"/>
        <v>1.0609</v>
      </c>
      <c r="AB16" s="174"/>
      <c r="AC16" s="174">
        <f t="shared" si="4"/>
        <v>1.092727</v>
      </c>
      <c r="AD16" s="174"/>
      <c r="AE16" s="174">
        <f t="shared" si="5"/>
        <v>1.1255088099999999</v>
      </c>
      <c r="AF16" s="174"/>
      <c r="AG16" s="174">
        <f t="shared" si="6"/>
        <v>1.1592740742999998</v>
      </c>
      <c r="AH16" s="174"/>
      <c r="AI16" s="174">
        <f t="shared" si="7"/>
        <v>1.1940522965289999</v>
      </c>
      <c r="AJ16" s="174"/>
      <c r="AK16" s="174">
        <f t="shared" si="8"/>
        <v>1.22987386542487</v>
      </c>
      <c r="AL16" s="174"/>
      <c r="AM16" s="174">
        <f t="shared" si="9"/>
        <v>1.2667700813876159</v>
      </c>
      <c r="AN16" s="174"/>
      <c r="AO16" s="174">
        <f t="shared" si="10"/>
        <v>1.3047731838292445</v>
      </c>
      <c r="AP16" s="174"/>
      <c r="AQ16" s="174">
        <f t="shared" si="11"/>
        <v>1.3439163793441218</v>
      </c>
      <c r="AR16" s="174"/>
      <c r="AS16" s="174">
        <f t="shared" si="12"/>
        <v>1.3842338707244455</v>
      </c>
      <c r="AT16" s="174"/>
      <c r="AU16" s="174">
        <f t="shared" si="13"/>
        <v>1.4257608868461786</v>
      </c>
      <c r="AV16" s="174"/>
      <c r="AW16" s="174">
        <f t="shared" si="14"/>
        <v>1.4685337134515639</v>
      </c>
      <c r="AX16" s="174"/>
      <c r="AY16" s="174">
        <f t="shared" si="15"/>
        <v>1.512589724855111</v>
      </c>
      <c r="BJ16" s="221"/>
      <c r="BK16" s="221"/>
      <c r="BL16" s="221"/>
      <c r="BM16" s="221"/>
      <c r="BN16" s="221"/>
      <c r="BO16" s="221"/>
      <c r="BP16" s="221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167"/>
      <c r="CC16" s="167"/>
      <c r="CD16" s="167"/>
      <c r="CE16" s="167"/>
    </row>
    <row r="17" spans="1:83" ht="23.25" customHeight="1" x14ac:dyDescent="0.35">
      <c r="A17" s="135">
        <f>+A16+1</f>
        <v>44</v>
      </c>
      <c r="C17" s="178">
        <v>1</v>
      </c>
      <c r="E17" s="135" t="s">
        <v>45</v>
      </c>
      <c r="G17" s="136" t="s">
        <v>45</v>
      </c>
      <c r="I17" s="135" t="s">
        <v>45</v>
      </c>
      <c r="K17" s="135" t="s">
        <v>45</v>
      </c>
      <c r="M17" s="135">
        <v>1</v>
      </c>
      <c r="N17" s="238">
        <f t="shared" si="16"/>
        <v>2023</v>
      </c>
      <c r="O17" s="135">
        <v>1</v>
      </c>
      <c r="Q17" s="176">
        <v>1</v>
      </c>
      <c r="R17" s="177"/>
      <c r="S17" s="178">
        <f t="shared" si="17"/>
        <v>1</v>
      </c>
      <c r="T17" s="178"/>
      <c r="U17" s="179">
        <f t="shared" si="18"/>
        <v>47.575415706322005</v>
      </c>
      <c r="V17" s="138"/>
      <c r="W17" s="178">
        <f t="shared" si="1"/>
        <v>1</v>
      </c>
      <c r="X17" s="178"/>
      <c r="Y17" s="178">
        <f t="shared" si="2"/>
        <v>1.03</v>
      </c>
      <c r="Z17" s="178"/>
      <c r="AA17" s="178">
        <f t="shared" si="3"/>
        <v>1.0609</v>
      </c>
      <c r="AB17" s="178"/>
      <c r="AC17" s="178">
        <f t="shared" si="4"/>
        <v>1.092727</v>
      </c>
      <c r="AD17" s="178"/>
      <c r="AE17" s="178">
        <f t="shared" si="5"/>
        <v>1.1255088099999999</v>
      </c>
      <c r="AF17" s="178"/>
      <c r="AG17" s="178">
        <f t="shared" si="6"/>
        <v>1.1592740742999998</v>
      </c>
      <c r="AH17" s="178"/>
      <c r="AI17" s="178">
        <f t="shared" si="7"/>
        <v>1.1940522965289999</v>
      </c>
      <c r="AJ17" s="178"/>
      <c r="AK17" s="178">
        <f t="shared" si="8"/>
        <v>1.22987386542487</v>
      </c>
      <c r="AL17" s="178"/>
      <c r="AM17" s="178">
        <f t="shared" si="9"/>
        <v>1.2667700813876159</v>
      </c>
      <c r="AN17" s="178"/>
      <c r="AO17" s="178">
        <f t="shared" si="10"/>
        <v>1.3047731838292445</v>
      </c>
      <c r="AP17" s="178"/>
      <c r="AQ17" s="178">
        <f t="shared" si="11"/>
        <v>1.3439163793441218</v>
      </c>
      <c r="AR17" s="178"/>
      <c r="AS17" s="178">
        <f t="shared" si="12"/>
        <v>1.3842338707244455</v>
      </c>
      <c r="AT17" s="178"/>
      <c r="AU17" s="178">
        <f t="shared" si="13"/>
        <v>1.4257608868461786</v>
      </c>
      <c r="AV17" s="178"/>
      <c r="AW17" s="178">
        <f t="shared" si="14"/>
        <v>1.4685337134515639</v>
      </c>
      <c r="AX17" s="178"/>
      <c r="AY17" s="178">
        <f t="shared" si="15"/>
        <v>1.512589724855111</v>
      </c>
      <c r="BJ17" s="221"/>
      <c r="BK17" s="221"/>
      <c r="BL17" s="221"/>
      <c r="BM17" s="221"/>
      <c r="BN17" s="221"/>
      <c r="BO17" s="221"/>
      <c r="BP17" s="221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167"/>
      <c r="CC17" s="167"/>
      <c r="CD17" s="167"/>
      <c r="CE17" s="167"/>
    </row>
    <row r="18" spans="1:83" ht="23.25" customHeight="1" x14ac:dyDescent="0.35">
      <c r="A18" s="135">
        <f t="shared" ref="A18:A35" si="19">+A17+1</f>
        <v>45</v>
      </c>
      <c r="C18" s="178">
        <v>1</v>
      </c>
      <c r="E18" s="135" t="s">
        <v>45</v>
      </c>
      <c r="G18" s="136" t="s">
        <v>45</v>
      </c>
      <c r="I18" s="135" t="s">
        <v>45</v>
      </c>
      <c r="K18" s="135" t="s">
        <v>45</v>
      </c>
      <c r="M18" s="135">
        <v>1</v>
      </c>
      <c r="N18" s="238">
        <f t="shared" si="16"/>
        <v>2023</v>
      </c>
      <c r="O18" s="135">
        <v>1</v>
      </c>
      <c r="Q18" s="176">
        <v>1</v>
      </c>
      <c r="R18" s="177"/>
      <c r="S18" s="178">
        <f t="shared" si="17"/>
        <v>1</v>
      </c>
      <c r="T18" s="178"/>
      <c r="U18" s="179">
        <f t="shared" si="18"/>
        <v>47.575415706322005</v>
      </c>
      <c r="V18" s="138"/>
      <c r="W18" s="178">
        <f t="shared" si="1"/>
        <v>1</v>
      </c>
      <c r="X18" s="178"/>
      <c r="Y18" s="178">
        <f t="shared" si="2"/>
        <v>1.03</v>
      </c>
      <c r="Z18" s="178"/>
      <c r="AA18" s="178">
        <f t="shared" si="3"/>
        <v>1.0609</v>
      </c>
      <c r="AB18" s="178"/>
      <c r="AC18" s="178">
        <f t="shared" si="4"/>
        <v>1.092727</v>
      </c>
      <c r="AD18" s="178"/>
      <c r="AE18" s="178">
        <f t="shared" si="5"/>
        <v>1.1255088099999999</v>
      </c>
      <c r="AF18" s="178"/>
      <c r="AG18" s="178">
        <f t="shared" si="6"/>
        <v>1.1592740742999998</v>
      </c>
      <c r="AH18" s="178"/>
      <c r="AI18" s="178">
        <f t="shared" si="7"/>
        <v>1.1940522965289999</v>
      </c>
      <c r="AJ18" s="178"/>
      <c r="AK18" s="178">
        <f t="shared" si="8"/>
        <v>1.22987386542487</v>
      </c>
      <c r="AL18" s="178"/>
      <c r="AM18" s="178">
        <f t="shared" si="9"/>
        <v>1.2667700813876159</v>
      </c>
      <c r="AN18" s="178"/>
      <c r="AO18" s="178">
        <f t="shared" si="10"/>
        <v>1.3047731838292445</v>
      </c>
      <c r="AP18" s="178"/>
      <c r="AQ18" s="178">
        <f t="shared" si="11"/>
        <v>1.3439163793441218</v>
      </c>
      <c r="AR18" s="178"/>
      <c r="AS18" s="178">
        <f t="shared" si="12"/>
        <v>1.3842338707244455</v>
      </c>
      <c r="AT18" s="178"/>
      <c r="AU18" s="178">
        <f t="shared" si="13"/>
        <v>1.4257608868461786</v>
      </c>
      <c r="AV18" s="178"/>
      <c r="AW18" s="178">
        <f t="shared" si="14"/>
        <v>1.4685337134515639</v>
      </c>
      <c r="AX18" s="178"/>
      <c r="AY18" s="178">
        <f t="shared" si="15"/>
        <v>1.512589724855111</v>
      </c>
      <c r="BJ18" s="221"/>
      <c r="BK18" s="221"/>
      <c r="BL18" s="221"/>
      <c r="BM18" s="221"/>
      <c r="BN18" s="221"/>
      <c r="BO18" s="221"/>
      <c r="BP18" s="221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167"/>
      <c r="CC18" s="167"/>
      <c r="CD18" s="167"/>
      <c r="CE18" s="167"/>
    </row>
    <row r="19" spans="1:83" ht="23.25" customHeight="1" x14ac:dyDescent="0.35">
      <c r="A19" s="135">
        <f t="shared" si="19"/>
        <v>46</v>
      </c>
      <c r="C19" s="178">
        <v>1</v>
      </c>
      <c r="E19" s="135" t="s">
        <v>45</v>
      </c>
      <c r="G19" s="136" t="s">
        <v>45</v>
      </c>
      <c r="I19" s="135" t="s">
        <v>45</v>
      </c>
      <c r="K19" s="135" t="s">
        <v>45</v>
      </c>
      <c r="M19" s="135">
        <v>1</v>
      </c>
      <c r="N19" s="238">
        <f t="shared" si="16"/>
        <v>2023</v>
      </c>
      <c r="O19" s="135">
        <v>1</v>
      </c>
      <c r="Q19" s="176">
        <v>1</v>
      </c>
      <c r="R19" s="177"/>
      <c r="S19" s="178">
        <f t="shared" si="17"/>
        <v>1</v>
      </c>
      <c r="T19" s="178"/>
      <c r="U19" s="179">
        <f t="shared" si="18"/>
        <v>47.575415706322005</v>
      </c>
      <c r="V19" s="138"/>
      <c r="W19" s="178">
        <f t="shared" si="1"/>
        <v>1</v>
      </c>
      <c r="X19" s="178"/>
      <c r="Y19" s="178">
        <f t="shared" si="2"/>
        <v>1.03</v>
      </c>
      <c r="Z19" s="178"/>
      <c r="AA19" s="178">
        <f t="shared" si="3"/>
        <v>1.0609</v>
      </c>
      <c r="AB19" s="178"/>
      <c r="AC19" s="178">
        <f t="shared" si="4"/>
        <v>1.092727</v>
      </c>
      <c r="AD19" s="178"/>
      <c r="AE19" s="178">
        <f t="shared" si="5"/>
        <v>1.1255088099999999</v>
      </c>
      <c r="AF19" s="178"/>
      <c r="AG19" s="178">
        <f t="shared" si="6"/>
        <v>1.1592740742999998</v>
      </c>
      <c r="AH19" s="178"/>
      <c r="AI19" s="178">
        <f t="shared" si="7"/>
        <v>1.1940522965289999</v>
      </c>
      <c r="AJ19" s="178"/>
      <c r="AK19" s="178">
        <f t="shared" si="8"/>
        <v>1.22987386542487</v>
      </c>
      <c r="AL19" s="178"/>
      <c r="AM19" s="178">
        <f t="shared" si="9"/>
        <v>1.2667700813876159</v>
      </c>
      <c r="AN19" s="178"/>
      <c r="AO19" s="178">
        <f t="shared" si="10"/>
        <v>1.3047731838292445</v>
      </c>
      <c r="AP19" s="178"/>
      <c r="AQ19" s="178">
        <f t="shared" si="11"/>
        <v>1.3439163793441218</v>
      </c>
      <c r="AR19" s="178"/>
      <c r="AS19" s="178">
        <f t="shared" si="12"/>
        <v>1.3842338707244455</v>
      </c>
      <c r="AT19" s="178"/>
      <c r="AU19" s="178">
        <f t="shared" si="13"/>
        <v>1.4257608868461786</v>
      </c>
      <c r="AV19" s="178"/>
      <c r="AW19" s="178">
        <f t="shared" si="14"/>
        <v>1.4685337134515639</v>
      </c>
      <c r="AX19" s="178"/>
      <c r="AY19" s="178">
        <f t="shared" si="15"/>
        <v>1.512589724855111</v>
      </c>
      <c r="BJ19" s="221"/>
      <c r="BK19" s="221"/>
      <c r="BL19" s="221"/>
      <c r="BM19" s="221"/>
      <c r="BN19" s="221"/>
      <c r="BO19" s="221"/>
      <c r="BP19" s="221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167"/>
      <c r="CC19" s="167"/>
      <c r="CD19" s="167"/>
      <c r="CE19" s="167"/>
    </row>
    <row r="20" spans="1:83" ht="23.25" customHeight="1" x14ac:dyDescent="0.35">
      <c r="A20" s="168">
        <f t="shared" si="19"/>
        <v>47</v>
      </c>
      <c r="B20" s="169"/>
      <c r="C20" s="174">
        <v>1</v>
      </c>
      <c r="D20" s="171"/>
      <c r="E20" s="170" t="s">
        <v>45</v>
      </c>
      <c r="F20" s="170"/>
      <c r="G20" s="169" t="s">
        <v>45</v>
      </c>
      <c r="H20" s="169"/>
      <c r="I20" s="168" t="s">
        <v>45</v>
      </c>
      <c r="J20" s="169"/>
      <c r="K20" s="168" t="s">
        <v>45</v>
      </c>
      <c r="L20" s="169"/>
      <c r="M20" s="168">
        <v>1</v>
      </c>
      <c r="N20" s="237">
        <f t="shared" si="16"/>
        <v>2023</v>
      </c>
      <c r="O20" s="168">
        <v>1</v>
      </c>
      <c r="P20" s="169"/>
      <c r="Q20" s="172">
        <v>1</v>
      </c>
      <c r="R20" s="173"/>
      <c r="S20" s="174">
        <f t="shared" si="17"/>
        <v>1</v>
      </c>
      <c r="T20" s="174"/>
      <c r="U20" s="175">
        <f t="shared" si="18"/>
        <v>47.575415706322005</v>
      </c>
      <c r="V20" s="171"/>
      <c r="W20" s="174">
        <f t="shared" ref="W20:W35" si="20">S20</f>
        <v>1</v>
      </c>
      <c r="X20" s="174"/>
      <c r="Y20" s="174">
        <f t="shared" ref="Y20:Y35" si="21">FV($U$6,W$9,,-$S20,0)</f>
        <v>1.03</v>
      </c>
      <c r="Z20" s="174"/>
      <c r="AA20" s="174">
        <f t="shared" si="3"/>
        <v>1.0609</v>
      </c>
      <c r="AB20" s="174"/>
      <c r="AC20" s="174">
        <f t="shared" si="4"/>
        <v>1.092727</v>
      </c>
      <c r="AD20" s="174"/>
      <c r="AE20" s="174">
        <f t="shared" si="5"/>
        <v>1.1255088099999999</v>
      </c>
      <c r="AF20" s="174"/>
      <c r="AG20" s="174">
        <f t="shared" si="6"/>
        <v>1.1592740742999998</v>
      </c>
      <c r="AH20" s="174"/>
      <c r="AI20" s="174">
        <f t="shared" si="7"/>
        <v>1.1940522965289999</v>
      </c>
      <c r="AJ20" s="174"/>
      <c r="AK20" s="174">
        <f t="shared" si="8"/>
        <v>1.22987386542487</v>
      </c>
      <c r="AL20" s="174"/>
      <c r="AM20" s="174">
        <f t="shared" si="9"/>
        <v>1.2667700813876159</v>
      </c>
      <c r="AN20" s="174"/>
      <c r="AO20" s="174">
        <f t="shared" si="10"/>
        <v>1.3047731838292445</v>
      </c>
      <c r="AP20" s="174"/>
      <c r="AQ20" s="174">
        <f t="shared" si="11"/>
        <v>1.3439163793441218</v>
      </c>
      <c r="AR20" s="174"/>
      <c r="AS20" s="174">
        <f t="shared" si="12"/>
        <v>1.3842338707244455</v>
      </c>
      <c r="AT20" s="174"/>
      <c r="AU20" s="174">
        <f t="shared" si="13"/>
        <v>1.4257608868461786</v>
      </c>
      <c r="AV20" s="174"/>
      <c r="AW20" s="174">
        <f t="shared" si="14"/>
        <v>1.4685337134515639</v>
      </c>
      <c r="AX20" s="174"/>
      <c r="AY20" s="174">
        <f t="shared" si="15"/>
        <v>1.512589724855111</v>
      </c>
      <c r="BJ20" s="221"/>
      <c r="BK20" s="221"/>
      <c r="BL20" s="221"/>
      <c r="BM20" s="221"/>
      <c r="BN20" s="221"/>
      <c r="BO20" s="221"/>
      <c r="BP20" s="221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167"/>
      <c r="CC20" s="167"/>
      <c r="CD20" s="167"/>
      <c r="CE20" s="167"/>
    </row>
    <row r="21" spans="1:83" ht="23.25" customHeight="1" x14ac:dyDescent="0.35">
      <c r="A21" s="168">
        <f t="shared" si="19"/>
        <v>48</v>
      </c>
      <c r="B21" s="169"/>
      <c r="C21" s="174">
        <v>1</v>
      </c>
      <c r="D21" s="171"/>
      <c r="E21" s="168" t="s">
        <v>45</v>
      </c>
      <c r="F21" s="169"/>
      <c r="G21" s="169" t="s">
        <v>45</v>
      </c>
      <c r="H21" s="169"/>
      <c r="I21" s="168" t="s">
        <v>45</v>
      </c>
      <c r="J21" s="169"/>
      <c r="K21" s="168" t="s">
        <v>45</v>
      </c>
      <c r="L21" s="169"/>
      <c r="M21" s="168">
        <v>1</v>
      </c>
      <c r="N21" s="237">
        <f t="shared" si="16"/>
        <v>2023</v>
      </c>
      <c r="O21" s="168">
        <v>1</v>
      </c>
      <c r="P21" s="169"/>
      <c r="Q21" s="172">
        <v>1</v>
      </c>
      <c r="R21" s="173"/>
      <c r="S21" s="174">
        <f t="shared" si="17"/>
        <v>1</v>
      </c>
      <c r="T21" s="174"/>
      <c r="U21" s="175">
        <f t="shared" si="18"/>
        <v>47.575415706322005</v>
      </c>
      <c r="V21" s="171"/>
      <c r="W21" s="174">
        <f t="shared" si="20"/>
        <v>1</v>
      </c>
      <c r="X21" s="174"/>
      <c r="Y21" s="174">
        <f t="shared" si="21"/>
        <v>1.03</v>
      </c>
      <c r="Z21" s="174"/>
      <c r="AA21" s="174">
        <f t="shared" si="3"/>
        <v>1.0609</v>
      </c>
      <c r="AB21" s="174"/>
      <c r="AC21" s="174">
        <f t="shared" si="4"/>
        <v>1.092727</v>
      </c>
      <c r="AD21" s="174"/>
      <c r="AE21" s="174">
        <f t="shared" si="5"/>
        <v>1.1255088099999999</v>
      </c>
      <c r="AF21" s="174"/>
      <c r="AG21" s="174">
        <f t="shared" si="6"/>
        <v>1.1592740742999998</v>
      </c>
      <c r="AH21" s="174"/>
      <c r="AI21" s="174">
        <f t="shared" si="7"/>
        <v>1.1940522965289999</v>
      </c>
      <c r="AJ21" s="174"/>
      <c r="AK21" s="174">
        <f t="shared" si="8"/>
        <v>1.22987386542487</v>
      </c>
      <c r="AL21" s="174"/>
      <c r="AM21" s="174">
        <f t="shared" si="9"/>
        <v>1.2667700813876159</v>
      </c>
      <c r="AN21" s="174"/>
      <c r="AO21" s="174">
        <f t="shared" si="10"/>
        <v>1.3047731838292445</v>
      </c>
      <c r="AP21" s="174"/>
      <c r="AQ21" s="174">
        <f t="shared" si="11"/>
        <v>1.3439163793441218</v>
      </c>
      <c r="AR21" s="174"/>
      <c r="AS21" s="174">
        <f t="shared" si="12"/>
        <v>1.3842338707244455</v>
      </c>
      <c r="AT21" s="174"/>
      <c r="AU21" s="174">
        <f t="shared" si="13"/>
        <v>1.4257608868461786</v>
      </c>
      <c r="AV21" s="174"/>
      <c r="AW21" s="174">
        <f t="shared" si="14"/>
        <v>1.4685337134515639</v>
      </c>
      <c r="AX21" s="174"/>
      <c r="AY21" s="174">
        <f t="shared" si="15"/>
        <v>1.512589724855111</v>
      </c>
      <c r="BJ21" s="221"/>
      <c r="BK21" s="221"/>
      <c r="BL21" s="221"/>
      <c r="BM21" s="221"/>
      <c r="BN21" s="221"/>
      <c r="BO21" s="221"/>
      <c r="BP21" s="221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167"/>
      <c r="CC21" s="167"/>
      <c r="CD21" s="167"/>
      <c r="CE21" s="167"/>
    </row>
    <row r="22" spans="1:83" ht="23.25" customHeight="1" x14ac:dyDescent="0.35">
      <c r="A22" s="168">
        <f t="shared" si="19"/>
        <v>49</v>
      </c>
      <c r="B22" s="169"/>
      <c r="C22" s="174">
        <v>1</v>
      </c>
      <c r="D22" s="171"/>
      <c r="E22" s="168" t="s">
        <v>45</v>
      </c>
      <c r="F22" s="169"/>
      <c r="G22" s="169" t="s">
        <v>45</v>
      </c>
      <c r="H22" s="169"/>
      <c r="I22" s="168" t="s">
        <v>45</v>
      </c>
      <c r="J22" s="169"/>
      <c r="K22" s="168" t="s">
        <v>45</v>
      </c>
      <c r="L22" s="169"/>
      <c r="M22" s="168">
        <v>1</v>
      </c>
      <c r="N22" s="237">
        <f t="shared" si="16"/>
        <v>2023</v>
      </c>
      <c r="O22" s="168">
        <v>1</v>
      </c>
      <c r="P22" s="169"/>
      <c r="Q22" s="172">
        <v>1</v>
      </c>
      <c r="R22" s="173"/>
      <c r="S22" s="174">
        <f t="shared" si="17"/>
        <v>1</v>
      </c>
      <c r="T22" s="174"/>
      <c r="U22" s="175">
        <f t="shared" si="18"/>
        <v>47.575415706322005</v>
      </c>
      <c r="V22" s="171"/>
      <c r="W22" s="174">
        <f t="shared" si="20"/>
        <v>1</v>
      </c>
      <c r="X22" s="174"/>
      <c r="Y22" s="174">
        <f t="shared" si="21"/>
        <v>1.03</v>
      </c>
      <c r="Z22" s="174"/>
      <c r="AA22" s="174">
        <f t="shared" si="3"/>
        <v>1.0609</v>
      </c>
      <c r="AB22" s="174"/>
      <c r="AC22" s="174">
        <f t="shared" si="4"/>
        <v>1.092727</v>
      </c>
      <c r="AD22" s="174"/>
      <c r="AE22" s="174">
        <f t="shared" si="5"/>
        <v>1.1255088099999999</v>
      </c>
      <c r="AF22" s="174"/>
      <c r="AG22" s="174">
        <f t="shared" si="6"/>
        <v>1.1592740742999998</v>
      </c>
      <c r="AH22" s="174"/>
      <c r="AI22" s="174">
        <f t="shared" si="7"/>
        <v>1.1940522965289999</v>
      </c>
      <c r="AJ22" s="174"/>
      <c r="AK22" s="174">
        <f t="shared" si="8"/>
        <v>1.22987386542487</v>
      </c>
      <c r="AL22" s="174"/>
      <c r="AM22" s="174">
        <f t="shared" si="9"/>
        <v>1.2667700813876159</v>
      </c>
      <c r="AN22" s="174"/>
      <c r="AO22" s="174">
        <f t="shared" si="10"/>
        <v>1.3047731838292445</v>
      </c>
      <c r="AP22" s="174"/>
      <c r="AQ22" s="174">
        <f t="shared" si="11"/>
        <v>1.3439163793441218</v>
      </c>
      <c r="AR22" s="174"/>
      <c r="AS22" s="174">
        <f t="shared" si="12"/>
        <v>1.3842338707244455</v>
      </c>
      <c r="AT22" s="174"/>
      <c r="AU22" s="174">
        <f t="shared" si="13"/>
        <v>1.4257608868461786</v>
      </c>
      <c r="AV22" s="174"/>
      <c r="AW22" s="174">
        <f t="shared" si="14"/>
        <v>1.4685337134515639</v>
      </c>
      <c r="AX22" s="174"/>
      <c r="AY22" s="174">
        <f t="shared" si="15"/>
        <v>1.512589724855111</v>
      </c>
      <c r="BJ22" s="221"/>
      <c r="BK22" s="221"/>
      <c r="BL22" s="221"/>
      <c r="BM22" s="221"/>
      <c r="BN22" s="221"/>
      <c r="BO22" s="221"/>
      <c r="BP22" s="221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167"/>
      <c r="CC22" s="167"/>
      <c r="CD22" s="167"/>
      <c r="CE22" s="167"/>
    </row>
    <row r="23" spans="1:83" ht="23.25" customHeight="1" x14ac:dyDescent="0.35">
      <c r="A23" s="135">
        <f t="shared" si="19"/>
        <v>50</v>
      </c>
      <c r="C23" s="178">
        <v>1</v>
      </c>
      <c r="E23" s="135" t="s">
        <v>45</v>
      </c>
      <c r="G23" s="136" t="s">
        <v>45</v>
      </c>
      <c r="I23" s="135" t="s">
        <v>45</v>
      </c>
      <c r="K23" s="135" t="s">
        <v>45</v>
      </c>
      <c r="M23" s="135">
        <v>1</v>
      </c>
      <c r="N23" s="238">
        <f t="shared" ref="N23:N35" si="22">N22</f>
        <v>2023</v>
      </c>
      <c r="O23" s="135">
        <v>1</v>
      </c>
      <c r="Q23" s="176">
        <v>1</v>
      </c>
      <c r="R23" s="177"/>
      <c r="S23" s="178">
        <f t="shared" si="17"/>
        <v>1</v>
      </c>
      <c r="T23" s="178"/>
      <c r="U23" s="179">
        <f t="shared" si="18"/>
        <v>47.575415706322005</v>
      </c>
      <c r="V23" s="138"/>
      <c r="W23" s="178">
        <f t="shared" si="20"/>
        <v>1</v>
      </c>
      <c r="X23" s="178"/>
      <c r="Y23" s="178">
        <f t="shared" si="21"/>
        <v>1.03</v>
      </c>
      <c r="Z23" s="178"/>
      <c r="AA23" s="178">
        <f t="shared" si="3"/>
        <v>1.0609</v>
      </c>
      <c r="AB23" s="178"/>
      <c r="AC23" s="178">
        <f t="shared" si="4"/>
        <v>1.092727</v>
      </c>
      <c r="AD23" s="178"/>
      <c r="AE23" s="178">
        <f t="shared" si="5"/>
        <v>1.1255088099999999</v>
      </c>
      <c r="AF23" s="178"/>
      <c r="AG23" s="178">
        <f t="shared" si="6"/>
        <v>1.1592740742999998</v>
      </c>
      <c r="AH23" s="178"/>
      <c r="AI23" s="178">
        <f t="shared" si="7"/>
        <v>1.1940522965289999</v>
      </c>
      <c r="AJ23" s="178"/>
      <c r="AK23" s="178">
        <f t="shared" si="8"/>
        <v>1.22987386542487</v>
      </c>
      <c r="AL23" s="178"/>
      <c r="AM23" s="178">
        <f t="shared" si="9"/>
        <v>1.2667700813876159</v>
      </c>
      <c r="AN23" s="178"/>
      <c r="AO23" s="178">
        <f t="shared" si="10"/>
        <v>1.3047731838292445</v>
      </c>
      <c r="AP23" s="178"/>
      <c r="AQ23" s="178">
        <f t="shared" si="11"/>
        <v>1.3439163793441218</v>
      </c>
      <c r="AR23" s="178"/>
      <c r="AS23" s="178">
        <f t="shared" si="12"/>
        <v>1.3842338707244455</v>
      </c>
      <c r="AT23" s="178"/>
      <c r="AU23" s="178">
        <f t="shared" si="13"/>
        <v>1.4257608868461786</v>
      </c>
      <c r="AV23" s="178"/>
      <c r="AW23" s="178">
        <f t="shared" si="14"/>
        <v>1.4685337134515639</v>
      </c>
      <c r="AX23" s="178"/>
      <c r="AY23" s="178">
        <f t="shared" si="15"/>
        <v>1.512589724855111</v>
      </c>
      <c r="BJ23" s="221"/>
      <c r="BK23" s="221"/>
      <c r="BL23" s="221"/>
      <c r="BM23" s="221"/>
      <c r="BN23" s="221"/>
      <c r="BO23" s="221"/>
      <c r="BP23" s="221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167"/>
      <c r="CC23" s="167"/>
      <c r="CD23" s="167"/>
      <c r="CE23" s="167"/>
    </row>
    <row r="24" spans="1:83" ht="23.25" customHeight="1" x14ac:dyDescent="0.35">
      <c r="A24" s="135">
        <f t="shared" si="19"/>
        <v>51</v>
      </c>
      <c r="C24" s="178">
        <v>1</v>
      </c>
      <c r="E24" s="135" t="s">
        <v>45</v>
      </c>
      <c r="G24" s="188" t="s">
        <v>45</v>
      </c>
      <c r="I24" s="135" t="s">
        <v>45</v>
      </c>
      <c r="K24" s="135" t="s">
        <v>45</v>
      </c>
      <c r="M24" s="135">
        <v>1</v>
      </c>
      <c r="N24" s="238">
        <f t="shared" si="22"/>
        <v>2023</v>
      </c>
      <c r="O24" s="135">
        <v>1</v>
      </c>
      <c r="Q24" s="176">
        <v>1</v>
      </c>
      <c r="R24" s="177"/>
      <c r="S24" s="178">
        <f t="shared" si="17"/>
        <v>1</v>
      </c>
      <c r="T24" s="178"/>
      <c r="U24" s="179">
        <f t="shared" si="18"/>
        <v>47.575415706322005</v>
      </c>
      <c r="V24" s="138"/>
      <c r="W24" s="178">
        <f t="shared" si="20"/>
        <v>1</v>
      </c>
      <c r="X24" s="178"/>
      <c r="Y24" s="178">
        <f t="shared" si="21"/>
        <v>1.03</v>
      </c>
      <c r="Z24" s="178"/>
      <c r="AA24" s="178">
        <f t="shared" si="3"/>
        <v>1.0609</v>
      </c>
      <c r="AB24" s="178"/>
      <c r="AC24" s="178">
        <f t="shared" si="4"/>
        <v>1.092727</v>
      </c>
      <c r="AD24" s="178"/>
      <c r="AE24" s="178">
        <f t="shared" si="5"/>
        <v>1.1255088099999999</v>
      </c>
      <c r="AF24" s="178"/>
      <c r="AG24" s="178">
        <f t="shared" si="6"/>
        <v>1.1592740742999998</v>
      </c>
      <c r="AH24" s="178"/>
      <c r="AI24" s="178">
        <f t="shared" si="7"/>
        <v>1.1940522965289999</v>
      </c>
      <c r="AJ24" s="178"/>
      <c r="AK24" s="178">
        <f t="shared" si="8"/>
        <v>1.22987386542487</v>
      </c>
      <c r="AL24" s="178"/>
      <c r="AM24" s="178">
        <f t="shared" si="9"/>
        <v>1.2667700813876159</v>
      </c>
      <c r="AN24" s="178"/>
      <c r="AO24" s="178">
        <f t="shared" si="10"/>
        <v>1.3047731838292445</v>
      </c>
      <c r="AP24" s="178"/>
      <c r="AQ24" s="178">
        <f t="shared" si="11"/>
        <v>1.3439163793441218</v>
      </c>
      <c r="AR24" s="178"/>
      <c r="AS24" s="178">
        <f t="shared" si="12"/>
        <v>1.3842338707244455</v>
      </c>
      <c r="AT24" s="178"/>
      <c r="AU24" s="178">
        <f t="shared" si="13"/>
        <v>1.4257608868461786</v>
      </c>
      <c r="AV24" s="178"/>
      <c r="AW24" s="178">
        <f t="shared" si="14"/>
        <v>1.4685337134515639</v>
      </c>
      <c r="AX24" s="178"/>
      <c r="AY24" s="178">
        <f t="shared" si="15"/>
        <v>1.512589724855111</v>
      </c>
      <c r="BJ24" s="221"/>
      <c r="BK24" s="221"/>
      <c r="BL24" s="221"/>
      <c r="BM24" s="221"/>
      <c r="BN24" s="221"/>
      <c r="BO24" s="221"/>
      <c r="BP24" s="221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167"/>
      <c r="CC24" s="167"/>
      <c r="CD24" s="167"/>
      <c r="CE24" s="167"/>
    </row>
    <row r="25" spans="1:83" ht="23.25" customHeight="1" x14ac:dyDescent="0.35">
      <c r="A25" s="135">
        <f t="shared" si="19"/>
        <v>52</v>
      </c>
      <c r="C25" s="178">
        <v>1</v>
      </c>
      <c r="E25" s="135" t="s">
        <v>45</v>
      </c>
      <c r="G25" s="136" t="s">
        <v>45</v>
      </c>
      <c r="I25" s="135" t="s">
        <v>45</v>
      </c>
      <c r="K25" s="135" t="s">
        <v>45</v>
      </c>
      <c r="M25" s="135">
        <v>1</v>
      </c>
      <c r="N25" s="238">
        <f t="shared" si="22"/>
        <v>2023</v>
      </c>
      <c r="O25" s="135">
        <v>1</v>
      </c>
      <c r="Q25" s="176">
        <v>1</v>
      </c>
      <c r="R25" s="177"/>
      <c r="S25" s="178">
        <f t="shared" si="17"/>
        <v>1</v>
      </c>
      <c r="T25" s="178"/>
      <c r="U25" s="179">
        <f t="shared" si="18"/>
        <v>47.575415706322005</v>
      </c>
      <c r="V25" s="138"/>
      <c r="W25" s="178">
        <f t="shared" si="20"/>
        <v>1</v>
      </c>
      <c r="X25" s="178"/>
      <c r="Y25" s="178">
        <f t="shared" si="21"/>
        <v>1.03</v>
      </c>
      <c r="Z25" s="178"/>
      <c r="AA25" s="178">
        <f t="shared" si="3"/>
        <v>1.0609</v>
      </c>
      <c r="AB25" s="178"/>
      <c r="AC25" s="178">
        <f t="shared" si="4"/>
        <v>1.092727</v>
      </c>
      <c r="AD25" s="178"/>
      <c r="AE25" s="178">
        <f t="shared" si="5"/>
        <v>1.1255088099999999</v>
      </c>
      <c r="AF25" s="178"/>
      <c r="AG25" s="178">
        <f t="shared" si="6"/>
        <v>1.1592740742999998</v>
      </c>
      <c r="AH25" s="178"/>
      <c r="AI25" s="178">
        <f t="shared" si="7"/>
        <v>1.1940522965289999</v>
      </c>
      <c r="AJ25" s="178"/>
      <c r="AK25" s="178">
        <f t="shared" si="8"/>
        <v>1.22987386542487</v>
      </c>
      <c r="AL25" s="178"/>
      <c r="AM25" s="178">
        <f t="shared" si="9"/>
        <v>1.2667700813876159</v>
      </c>
      <c r="AN25" s="178"/>
      <c r="AO25" s="178">
        <f t="shared" si="10"/>
        <v>1.3047731838292445</v>
      </c>
      <c r="AP25" s="178"/>
      <c r="AQ25" s="178">
        <f t="shared" si="11"/>
        <v>1.3439163793441218</v>
      </c>
      <c r="AR25" s="178"/>
      <c r="AS25" s="178">
        <f t="shared" si="12"/>
        <v>1.3842338707244455</v>
      </c>
      <c r="AT25" s="178"/>
      <c r="AU25" s="178">
        <f t="shared" si="13"/>
        <v>1.4257608868461786</v>
      </c>
      <c r="AV25" s="178"/>
      <c r="AW25" s="178">
        <f t="shared" si="14"/>
        <v>1.4685337134515639</v>
      </c>
      <c r="AX25" s="178"/>
      <c r="AY25" s="178">
        <f t="shared" si="15"/>
        <v>1.512589724855111</v>
      </c>
      <c r="BJ25" s="221"/>
      <c r="BK25" s="221"/>
      <c r="BL25" s="221"/>
      <c r="BM25" s="221"/>
      <c r="BN25" s="221"/>
      <c r="BO25" s="221"/>
      <c r="BP25" s="221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167"/>
      <c r="CC25" s="167"/>
      <c r="CD25" s="167"/>
      <c r="CE25" s="167"/>
    </row>
    <row r="26" spans="1:83" ht="23.25" customHeight="1" x14ac:dyDescent="0.35">
      <c r="A26" s="168">
        <f t="shared" si="19"/>
        <v>53</v>
      </c>
      <c r="B26" s="169"/>
      <c r="C26" s="174">
        <v>1</v>
      </c>
      <c r="D26" s="171"/>
      <c r="E26" s="168" t="s">
        <v>45</v>
      </c>
      <c r="F26" s="169"/>
      <c r="G26" s="169" t="s">
        <v>45</v>
      </c>
      <c r="H26" s="169"/>
      <c r="I26" s="168" t="s">
        <v>45</v>
      </c>
      <c r="J26" s="169"/>
      <c r="K26" s="168" t="s">
        <v>45</v>
      </c>
      <c r="L26" s="169"/>
      <c r="M26" s="168">
        <v>1</v>
      </c>
      <c r="N26" s="237">
        <f t="shared" si="22"/>
        <v>2023</v>
      </c>
      <c r="O26" s="168">
        <v>1</v>
      </c>
      <c r="P26" s="169"/>
      <c r="Q26" s="172">
        <v>1</v>
      </c>
      <c r="R26" s="173"/>
      <c r="S26" s="174">
        <f t="shared" si="17"/>
        <v>1</v>
      </c>
      <c r="T26" s="174"/>
      <c r="U26" s="175">
        <f t="shared" si="18"/>
        <v>47.575415706322005</v>
      </c>
      <c r="V26" s="171"/>
      <c r="W26" s="174">
        <f t="shared" si="20"/>
        <v>1</v>
      </c>
      <c r="X26" s="174"/>
      <c r="Y26" s="174">
        <f t="shared" si="21"/>
        <v>1.03</v>
      </c>
      <c r="Z26" s="174"/>
      <c r="AA26" s="174">
        <f t="shared" si="3"/>
        <v>1.0609</v>
      </c>
      <c r="AB26" s="174"/>
      <c r="AC26" s="174">
        <f t="shared" si="4"/>
        <v>1.092727</v>
      </c>
      <c r="AD26" s="174"/>
      <c r="AE26" s="174">
        <f t="shared" si="5"/>
        <v>1.1255088099999999</v>
      </c>
      <c r="AF26" s="174"/>
      <c r="AG26" s="174">
        <f t="shared" si="6"/>
        <v>1.1592740742999998</v>
      </c>
      <c r="AH26" s="174"/>
      <c r="AI26" s="174">
        <f t="shared" si="7"/>
        <v>1.1940522965289999</v>
      </c>
      <c r="AJ26" s="174"/>
      <c r="AK26" s="174">
        <f t="shared" si="8"/>
        <v>1.22987386542487</v>
      </c>
      <c r="AL26" s="174"/>
      <c r="AM26" s="174">
        <f t="shared" si="9"/>
        <v>1.2667700813876159</v>
      </c>
      <c r="AN26" s="174"/>
      <c r="AO26" s="174">
        <f t="shared" si="10"/>
        <v>1.3047731838292445</v>
      </c>
      <c r="AP26" s="174"/>
      <c r="AQ26" s="174">
        <f t="shared" si="11"/>
        <v>1.3439163793441218</v>
      </c>
      <c r="AR26" s="174"/>
      <c r="AS26" s="174">
        <f t="shared" si="12"/>
        <v>1.3842338707244455</v>
      </c>
      <c r="AT26" s="174"/>
      <c r="AU26" s="174">
        <f t="shared" si="13"/>
        <v>1.4257608868461786</v>
      </c>
      <c r="AV26" s="174"/>
      <c r="AW26" s="174">
        <f t="shared" si="14"/>
        <v>1.4685337134515639</v>
      </c>
      <c r="AX26" s="174"/>
      <c r="AY26" s="174">
        <f t="shared" si="15"/>
        <v>1.512589724855111</v>
      </c>
      <c r="BJ26" s="221"/>
      <c r="BK26" s="221"/>
      <c r="BL26" s="221"/>
      <c r="BM26" s="221"/>
      <c r="BN26" s="221"/>
      <c r="BO26" s="221"/>
      <c r="BP26" s="221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167"/>
      <c r="CC26" s="167"/>
      <c r="CD26" s="167"/>
      <c r="CE26" s="167"/>
    </row>
    <row r="27" spans="1:83" ht="23.25" customHeight="1" x14ac:dyDescent="0.35">
      <c r="A27" s="168">
        <f t="shared" si="19"/>
        <v>54</v>
      </c>
      <c r="B27" s="169"/>
      <c r="C27" s="174">
        <v>1</v>
      </c>
      <c r="D27" s="171"/>
      <c r="E27" s="168" t="s">
        <v>45</v>
      </c>
      <c r="F27" s="169"/>
      <c r="G27" s="187" t="s">
        <v>45</v>
      </c>
      <c r="H27" s="169"/>
      <c r="I27" s="168" t="s">
        <v>45</v>
      </c>
      <c r="J27" s="169"/>
      <c r="K27" s="168" t="s">
        <v>45</v>
      </c>
      <c r="L27" s="169"/>
      <c r="M27" s="168">
        <v>1</v>
      </c>
      <c r="N27" s="237">
        <f t="shared" si="22"/>
        <v>2023</v>
      </c>
      <c r="O27" s="168">
        <v>1</v>
      </c>
      <c r="P27" s="169"/>
      <c r="Q27" s="172">
        <v>1</v>
      </c>
      <c r="R27" s="173"/>
      <c r="S27" s="174">
        <f t="shared" si="17"/>
        <v>1</v>
      </c>
      <c r="T27" s="174"/>
      <c r="U27" s="175">
        <f t="shared" si="18"/>
        <v>47.575415706322005</v>
      </c>
      <c r="V27" s="171"/>
      <c r="W27" s="174">
        <f t="shared" si="20"/>
        <v>1</v>
      </c>
      <c r="X27" s="174"/>
      <c r="Y27" s="174">
        <f t="shared" si="21"/>
        <v>1.03</v>
      </c>
      <c r="Z27" s="174"/>
      <c r="AA27" s="174">
        <f t="shared" si="3"/>
        <v>1.0609</v>
      </c>
      <c r="AB27" s="174"/>
      <c r="AC27" s="174">
        <f t="shared" si="4"/>
        <v>1.092727</v>
      </c>
      <c r="AD27" s="174"/>
      <c r="AE27" s="174">
        <f t="shared" si="5"/>
        <v>1.1255088099999999</v>
      </c>
      <c r="AF27" s="174"/>
      <c r="AG27" s="174">
        <f t="shared" si="6"/>
        <v>1.1592740742999998</v>
      </c>
      <c r="AH27" s="174"/>
      <c r="AI27" s="174">
        <f t="shared" si="7"/>
        <v>1.1940522965289999</v>
      </c>
      <c r="AJ27" s="174"/>
      <c r="AK27" s="174">
        <f t="shared" si="8"/>
        <v>1.22987386542487</v>
      </c>
      <c r="AL27" s="174"/>
      <c r="AM27" s="174">
        <f t="shared" si="9"/>
        <v>1.2667700813876159</v>
      </c>
      <c r="AN27" s="174"/>
      <c r="AO27" s="174">
        <f t="shared" si="10"/>
        <v>1.3047731838292445</v>
      </c>
      <c r="AP27" s="174"/>
      <c r="AQ27" s="174">
        <f t="shared" si="11"/>
        <v>1.3439163793441218</v>
      </c>
      <c r="AR27" s="174"/>
      <c r="AS27" s="174">
        <f t="shared" si="12"/>
        <v>1.3842338707244455</v>
      </c>
      <c r="AT27" s="174"/>
      <c r="AU27" s="174">
        <f t="shared" si="13"/>
        <v>1.4257608868461786</v>
      </c>
      <c r="AV27" s="174"/>
      <c r="AW27" s="174">
        <f t="shared" si="14"/>
        <v>1.4685337134515639</v>
      </c>
      <c r="AX27" s="174"/>
      <c r="AY27" s="174">
        <f t="shared" si="15"/>
        <v>1.512589724855111</v>
      </c>
      <c r="BJ27" s="221"/>
      <c r="BK27" s="221"/>
      <c r="BL27" s="221"/>
      <c r="BM27" s="221"/>
      <c r="BN27" s="221"/>
      <c r="BO27" s="221"/>
      <c r="BP27" s="221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167"/>
      <c r="CC27" s="167"/>
      <c r="CD27" s="167"/>
      <c r="CE27" s="167"/>
    </row>
    <row r="28" spans="1:83" ht="23.25" customHeight="1" x14ac:dyDescent="0.35">
      <c r="A28" s="168">
        <f t="shared" si="19"/>
        <v>55</v>
      </c>
      <c r="B28" s="169"/>
      <c r="C28" s="174">
        <v>1</v>
      </c>
      <c r="D28" s="171"/>
      <c r="E28" s="168" t="s">
        <v>45</v>
      </c>
      <c r="F28" s="169"/>
      <c r="G28" s="187" t="s">
        <v>45</v>
      </c>
      <c r="H28" s="169"/>
      <c r="I28" s="168" t="s">
        <v>45</v>
      </c>
      <c r="J28" s="169"/>
      <c r="K28" s="168" t="s">
        <v>45</v>
      </c>
      <c r="L28" s="169"/>
      <c r="M28" s="168">
        <v>1</v>
      </c>
      <c r="N28" s="237">
        <f t="shared" si="22"/>
        <v>2023</v>
      </c>
      <c r="O28" s="168">
        <v>1</v>
      </c>
      <c r="P28" s="169"/>
      <c r="Q28" s="172">
        <v>1</v>
      </c>
      <c r="R28" s="173"/>
      <c r="S28" s="174">
        <f t="shared" si="17"/>
        <v>1</v>
      </c>
      <c r="T28" s="174"/>
      <c r="U28" s="175">
        <f t="shared" si="18"/>
        <v>47.575415706322005</v>
      </c>
      <c r="V28" s="171"/>
      <c r="W28" s="174">
        <f t="shared" si="20"/>
        <v>1</v>
      </c>
      <c r="X28" s="174"/>
      <c r="Y28" s="174">
        <f t="shared" si="21"/>
        <v>1.03</v>
      </c>
      <c r="Z28" s="174"/>
      <c r="AA28" s="174">
        <f t="shared" si="3"/>
        <v>1.0609</v>
      </c>
      <c r="AB28" s="174"/>
      <c r="AC28" s="174">
        <f t="shared" si="4"/>
        <v>1.092727</v>
      </c>
      <c r="AD28" s="174"/>
      <c r="AE28" s="174">
        <f t="shared" si="5"/>
        <v>1.1255088099999999</v>
      </c>
      <c r="AF28" s="174"/>
      <c r="AG28" s="174">
        <f t="shared" si="6"/>
        <v>1.1592740742999998</v>
      </c>
      <c r="AH28" s="174"/>
      <c r="AI28" s="174">
        <f t="shared" si="7"/>
        <v>1.1940522965289999</v>
      </c>
      <c r="AJ28" s="174"/>
      <c r="AK28" s="174">
        <f t="shared" si="8"/>
        <v>1.22987386542487</v>
      </c>
      <c r="AL28" s="174"/>
      <c r="AM28" s="174">
        <f t="shared" si="9"/>
        <v>1.2667700813876159</v>
      </c>
      <c r="AN28" s="174"/>
      <c r="AO28" s="174">
        <f t="shared" si="10"/>
        <v>1.3047731838292445</v>
      </c>
      <c r="AP28" s="174"/>
      <c r="AQ28" s="174">
        <f t="shared" si="11"/>
        <v>1.3439163793441218</v>
      </c>
      <c r="AR28" s="174"/>
      <c r="AS28" s="174">
        <f t="shared" si="12"/>
        <v>1.3842338707244455</v>
      </c>
      <c r="AT28" s="174"/>
      <c r="AU28" s="174">
        <f t="shared" si="13"/>
        <v>1.4257608868461786</v>
      </c>
      <c r="AV28" s="174"/>
      <c r="AW28" s="174">
        <f t="shared" si="14"/>
        <v>1.4685337134515639</v>
      </c>
      <c r="AX28" s="174"/>
      <c r="AY28" s="174">
        <f t="shared" si="15"/>
        <v>1.512589724855111</v>
      </c>
      <c r="BJ28" s="221"/>
      <c r="BK28" s="221"/>
      <c r="BL28" s="221"/>
      <c r="BM28" s="221"/>
      <c r="BN28" s="221"/>
      <c r="BO28" s="221"/>
      <c r="BP28" s="221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167"/>
      <c r="CC28" s="167"/>
      <c r="CD28" s="167"/>
      <c r="CE28" s="167"/>
    </row>
    <row r="29" spans="1:83" s="151" customFormat="1" ht="23.25" customHeight="1" x14ac:dyDescent="0.35">
      <c r="A29" s="135">
        <f t="shared" si="19"/>
        <v>56</v>
      </c>
      <c r="B29" s="136"/>
      <c r="C29" s="178">
        <v>1</v>
      </c>
      <c r="D29" s="138"/>
      <c r="E29" s="135" t="s">
        <v>45</v>
      </c>
      <c r="F29" s="136"/>
      <c r="G29" s="136" t="s">
        <v>45</v>
      </c>
      <c r="H29" s="136"/>
      <c r="I29" s="135" t="s">
        <v>45</v>
      </c>
      <c r="J29" s="136"/>
      <c r="K29" s="135" t="s">
        <v>45</v>
      </c>
      <c r="L29" s="136"/>
      <c r="M29" s="135">
        <v>1</v>
      </c>
      <c r="N29" s="238">
        <f t="shared" si="22"/>
        <v>2023</v>
      </c>
      <c r="O29" s="135">
        <v>1</v>
      </c>
      <c r="P29" s="136"/>
      <c r="Q29" s="176">
        <v>1</v>
      </c>
      <c r="R29" s="177"/>
      <c r="S29" s="178">
        <f t="shared" si="17"/>
        <v>1</v>
      </c>
      <c r="T29" s="178"/>
      <c r="U29" s="179">
        <f t="shared" si="18"/>
        <v>47.575415706322005</v>
      </c>
      <c r="V29" s="138"/>
      <c r="W29" s="178">
        <f t="shared" si="20"/>
        <v>1</v>
      </c>
      <c r="X29" s="178"/>
      <c r="Y29" s="178">
        <f t="shared" si="21"/>
        <v>1.03</v>
      </c>
      <c r="Z29" s="178"/>
      <c r="AA29" s="178">
        <f t="shared" si="3"/>
        <v>1.0609</v>
      </c>
      <c r="AB29" s="178"/>
      <c r="AC29" s="178">
        <f t="shared" si="4"/>
        <v>1.092727</v>
      </c>
      <c r="AD29" s="178"/>
      <c r="AE29" s="178">
        <f t="shared" si="5"/>
        <v>1.1255088099999999</v>
      </c>
      <c r="AF29" s="178"/>
      <c r="AG29" s="178">
        <f t="shared" si="6"/>
        <v>1.1592740742999998</v>
      </c>
      <c r="AH29" s="178"/>
      <c r="AI29" s="178">
        <f t="shared" si="7"/>
        <v>1.1940522965289999</v>
      </c>
      <c r="AJ29" s="178"/>
      <c r="AK29" s="178">
        <f t="shared" si="8"/>
        <v>1.22987386542487</v>
      </c>
      <c r="AL29" s="178"/>
      <c r="AM29" s="178">
        <f t="shared" si="9"/>
        <v>1.2667700813876159</v>
      </c>
      <c r="AN29" s="178"/>
      <c r="AO29" s="178">
        <f t="shared" si="10"/>
        <v>1.3047731838292445</v>
      </c>
      <c r="AP29" s="178"/>
      <c r="AQ29" s="178">
        <f t="shared" si="11"/>
        <v>1.3439163793441218</v>
      </c>
      <c r="AR29" s="178"/>
      <c r="AS29" s="178">
        <f t="shared" si="12"/>
        <v>1.3842338707244455</v>
      </c>
      <c r="AT29" s="178"/>
      <c r="AU29" s="178">
        <f t="shared" si="13"/>
        <v>1.4257608868461786</v>
      </c>
      <c r="AV29" s="178"/>
      <c r="AW29" s="178">
        <f t="shared" si="14"/>
        <v>1.4685337134515639</v>
      </c>
      <c r="AX29" s="178"/>
      <c r="AY29" s="178">
        <f t="shared" si="15"/>
        <v>1.512589724855111</v>
      </c>
      <c r="AZ29" s="136"/>
      <c r="BA29" s="136"/>
      <c r="BJ29" s="221"/>
      <c r="BK29" s="221"/>
      <c r="BL29" s="221"/>
      <c r="BM29" s="221"/>
      <c r="BN29" s="221"/>
      <c r="BO29" s="221"/>
      <c r="BP29" s="221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</row>
    <row r="30" spans="1:83" s="151" customFormat="1" ht="23.25" customHeight="1" x14ac:dyDescent="0.35">
      <c r="A30" s="135">
        <f t="shared" si="19"/>
        <v>57</v>
      </c>
      <c r="B30" s="136"/>
      <c r="C30" s="178">
        <v>1</v>
      </c>
      <c r="D30" s="138"/>
      <c r="E30" s="137" t="s">
        <v>45</v>
      </c>
      <c r="F30" s="137"/>
      <c r="G30" s="188" t="s">
        <v>45</v>
      </c>
      <c r="H30" s="136"/>
      <c r="I30" s="135" t="s">
        <v>45</v>
      </c>
      <c r="J30" s="136"/>
      <c r="K30" s="135" t="s">
        <v>45</v>
      </c>
      <c r="L30" s="136"/>
      <c r="M30" s="135">
        <v>1</v>
      </c>
      <c r="N30" s="238">
        <f t="shared" si="22"/>
        <v>2023</v>
      </c>
      <c r="O30" s="135">
        <v>1</v>
      </c>
      <c r="P30" s="136"/>
      <c r="Q30" s="176">
        <v>1</v>
      </c>
      <c r="R30" s="177"/>
      <c r="S30" s="178">
        <f t="shared" si="17"/>
        <v>1</v>
      </c>
      <c r="T30" s="178"/>
      <c r="U30" s="179">
        <f t="shared" si="18"/>
        <v>47.575415706322005</v>
      </c>
      <c r="V30" s="138"/>
      <c r="W30" s="178">
        <f t="shared" si="20"/>
        <v>1</v>
      </c>
      <c r="X30" s="178"/>
      <c r="Y30" s="178">
        <f>FV($U$6,W$9,,-$S30,0)</f>
        <v>1.03</v>
      </c>
      <c r="Z30" s="178"/>
      <c r="AA30" s="178">
        <f t="shared" si="3"/>
        <v>1.0609</v>
      </c>
      <c r="AB30" s="178"/>
      <c r="AC30" s="178">
        <f t="shared" si="4"/>
        <v>1.092727</v>
      </c>
      <c r="AD30" s="178"/>
      <c r="AE30" s="178">
        <f t="shared" si="5"/>
        <v>1.1255088099999999</v>
      </c>
      <c r="AF30" s="178"/>
      <c r="AG30" s="178">
        <f t="shared" si="6"/>
        <v>1.1592740742999998</v>
      </c>
      <c r="AH30" s="178"/>
      <c r="AI30" s="178">
        <f t="shared" si="7"/>
        <v>1.1940522965289999</v>
      </c>
      <c r="AJ30" s="178"/>
      <c r="AK30" s="178">
        <f t="shared" si="8"/>
        <v>1.22987386542487</v>
      </c>
      <c r="AL30" s="178"/>
      <c r="AM30" s="178">
        <f t="shared" si="9"/>
        <v>1.2667700813876159</v>
      </c>
      <c r="AN30" s="178"/>
      <c r="AO30" s="178">
        <f t="shared" si="10"/>
        <v>1.3047731838292445</v>
      </c>
      <c r="AP30" s="178"/>
      <c r="AQ30" s="178">
        <f t="shared" si="11"/>
        <v>1.3439163793441218</v>
      </c>
      <c r="AR30" s="178"/>
      <c r="AS30" s="178">
        <f t="shared" si="12"/>
        <v>1.3842338707244455</v>
      </c>
      <c r="AT30" s="178"/>
      <c r="AU30" s="178">
        <f t="shared" si="13"/>
        <v>1.4257608868461786</v>
      </c>
      <c r="AV30" s="178"/>
      <c r="AW30" s="178">
        <f t="shared" si="14"/>
        <v>1.4685337134515639</v>
      </c>
      <c r="AX30" s="178"/>
      <c r="AY30" s="178">
        <f t="shared" si="15"/>
        <v>1.512589724855111</v>
      </c>
      <c r="AZ30" s="136"/>
      <c r="BA30" s="136"/>
      <c r="BJ30" s="221"/>
      <c r="BK30" s="221"/>
      <c r="BL30" s="221"/>
      <c r="BM30" s="221"/>
      <c r="BN30" s="221"/>
      <c r="BO30" s="221"/>
      <c r="BP30" s="221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</row>
    <row r="31" spans="1:83" s="151" customFormat="1" ht="23.25" customHeight="1" x14ac:dyDescent="0.35">
      <c r="A31" s="135">
        <f t="shared" si="19"/>
        <v>58</v>
      </c>
      <c r="B31" s="136"/>
      <c r="C31" s="178">
        <v>1</v>
      </c>
      <c r="D31" s="138"/>
      <c r="E31" s="135" t="s">
        <v>45</v>
      </c>
      <c r="F31" s="136"/>
      <c r="G31" s="136" t="s">
        <v>45</v>
      </c>
      <c r="H31" s="136"/>
      <c r="I31" s="135" t="s">
        <v>45</v>
      </c>
      <c r="J31" s="136"/>
      <c r="K31" s="135" t="s">
        <v>45</v>
      </c>
      <c r="L31" s="136"/>
      <c r="M31" s="135">
        <v>1</v>
      </c>
      <c r="N31" s="238">
        <f t="shared" si="22"/>
        <v>2023</v>
      </c>
      <c r="O31" s="135">
        <v>1</v>
      </c>
      <c r="P31" s="136"/>
      <c r="Q31" s="176">
        <v>1</v>
      </c>
      <c r="R31" s="177"/>
      <c r="S31" s="178">
        <f t="shared" si="17"/>
        <v>1</v>
      </c>
      <c r="T31" s="178"/>
      <c r="U31" s="179">
        <f t="shared" si="18"/>
        <v>47.575415706322005</v>
      </c>
      <c r="V31" s="138"/>
      <c r="W31" s="178">
        <f t="shared" si="20"/>
        <v>1</v>
      </c>
      <c r="X31" s="178"/>
      <c r="Y31" s="178">
        <f t="shared" si="21"/>
        <v>1.03</v>
      </c>
      <c r="Z31" s="178"/>
      <c r="AA31" s="178">
        <f t="shared" si="3"/>
        <v>1.0609</v>
      </c>
      <c r="AB31" s="178"/>
      <c r="AC31" s="178">
        <f t="shared" si="4"/>
        <v>1.092727</v>
      </c>
      <c r="AD31" s="178"/>
      <c r="AE31" s="178">
        <f t="shared" si="5"/>
        <v>1.1255088099999999</v>
      </c>
      <c r="AF31" s="178"/>
      <c r="AG31" s="178">
        <f t="shared" si="6"/>
        <v>1.1592740742999998</v>
      </c>
      <c r="AH31" s="178"/>
      <c r="AI31" s="178">
        <f t="shared" si="7"/>
        <v>1.1940522965289999</v>
      </c>
      <c r="AJ31" s="178"/>
      <c r="AK31" s="178">
        <f t="shared" si="8"/>
        <v>1.22987386542487</v>
      </c>
      <c r="AL31" s="178"/>
      <c r="AM31" s="178">
        <f t="shared" si="9"/>
        <v>1.2667700813876159</v>
      </c>
      <c r="AN31" s="178"/>
      <c r="AO31" s="178">
        <f t="shared" si="10"/>
        <v>1.3047731838292445</v>
      </c>
      <c r="AP31" s="178"/>
      <c r="AQ31" s="178">
        <f t="shared" si="11"/>
        <v>1.3439163793441218</v>
      </c>
      <c r="AR31" s="178"/>
      <c r="AS31" s="178">
        <f t="shared" si="12"/>
        <v>1.3842338707244455</v>
      </c>
      <c r="AT31" s="178"/>
      <c r="AU31" s="178">
        <f t="shared" si="13"/>
        <v>1.4257608868461786</v>
      </c>
      <c r="AV31" s="178"/>
      <c r="AW31" s="178">
        <f t="shared" si="14"/>
        <v>1.4685337134515639</v>
      </c>
      <c r="AX31" s="178"/>
      <c r="AY31" s="178">
        <f t="shared" si="15"/>
        <v>1.512589724855111</v>
      </c>
      <c r="AZ31" s="136"/>
      <c r="BA31" s="136"/>
      <c r="BJ31" s="221"/>
      <c r="BK31" s="221"/>
      <c r="BL31" s="221"/>
      <c r="BM31" s="221"/>
      <c r="BN31" s="221"/>
      <c r="BO31" s="221"/>
      <c r="BP31" s="221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</row>
    <row r="32" spans="1:83" s="151" customFormat="1" ht="23.25" customHeight="1" x14ac:dyDescent="0.35">
      <c r="A32" s="168">
        <f t="shared" si="19"/>
        <v>59</v>
      </c>
      <c r="B32" s="169"/>
      <c r="C32" s="174">
        <v>1</v>
      </c>
      <c r="D32" s="171"/>
      <c r="E32" s="168" t="s">
        <v>45</v>
      </c>
      <c r="F32" s="169"/>
      <c r="G32" s="169" t="s">
        <v>45</v>
      </c>
      <c r="H32" s="169"/>
      <c r="I32" s="168" t="s">
        <v>45</v>
      </c>
      <c r="J32" s="169"/>
      <c r="K32" s="168" t="s">
        <v>45</v>
      </c>
      <c r="L32" s="169"/>
      <c r="M32" s="168">
        <v>1</v>
      </c>
      <c r="N32" s="237">
        <f t="shared" si="22"/>
        <v>2023</v>
      </c>
      <c r="O32" s="168">
        <v>1</v>
      </c>
      <c r="P32" s="169"/>
      <c r="Q32" s="172">
        <v>1</v>
      </c>
      <c r="R32" s="173"/>
      <c r="S32" s="174">
        <f t="shared" si="17"/>
        <v>1</v>
      </c>
      <c r="T32" s="174"/>
      <c r="U32" s="175">
        <f t="shared" si="18"/>
        <v>47.575415706322005</v>
      </c>
      <c r="V32" s="171"/>
      <c r="W32" s="174">
        <f t="shared" si="20"/>
        <v>1</v>
      </c>
      <c r="X32" s="174"/>
      <c r="Y32" s="174">
        <f t="shared" si="21"/>
        <v>1.03</v>
      </c>
      <c r="Z32" s="174"/>
      <c r="AA32" s="174">
        <f t="shared" si="3"/>
        <v>1.0609</v>
      </c>
      <c r="AB32" s="174"/>
      <c r="AC32" s="174">
        <f t="shared" si="4"/>
        <v>1.092727</v>
      </c>
      <c r="AD32" s="174"/>
      <c r="AE32" s="174">
        <f t="shared" si="5"/>
        <v>1.1255088099999999</v>
      </c>
      <c r="AF32" s="174"/>
      <c r="AG32" s="174">
        <f t="shared" si="6"/>
        <v>1.1592740742999998</v>
      </c>
      <c r="AH32" s="174"/>
      <c r="AI32" s="174">
        <f t="shared" si="7"/>
        <v>1.1940522965289999</v>
      </c>
      <c r="AJ32" s="174"/>
      <c r="AK32" s="174">
        <f t="shared" si="8"/>
        <v>1.22987386542487</v>
      </c>
      <c r="AL32" s="174"/>
      <c r="AM32" s="174">
        <f t="shared" si="9"/>
        <v>1.2667700813876159</v>
      </c>
      <c r="AN32" s="174"/>
      <c r="AO32" s="174">
        <f t="shared" si="10"/>
        <v>1.3047731838292445</v>
      </c>
      <c r="AP32" s="174"/>
      <c r="AQ32" s="174">
        <f t="shared" si="11"/>
        <v>1.3439163793441218</v>
      </c>
      <c r="AR32" s="174"/>
      <c r="AS32" s="174">
        <f t="shared" si="12"/>
        <v>1.3842338707244455</v>
      </c>
      <c r="AT32" s="174"/>
      <c r="AU32" s="174">
        <f t="shared" si="13"/>
        <v>1.4257608868461786</v>
      </c>
      <c r="AV32" s="174"/>
      <c r="AW32" s="174">
        <f t="shared" si="14"/>
        <v>1.4685337134515639</v>
      </c>
      <c r="AX32" s="174"/>
      <c r="AY32" s="174">
        <f t="shared" si="15"/>
        <v>1.512589724855111</v>
      </c>
      <c r="AZ32" s="136"/>
      <c r="BA32" s="136"/>
      <c r="BJ32" s="221"/>
      <c r="BK32" s="221"/>
      <c r="BL32" s="221"/>
      <c r="BM32" s="221"/>
      <c r="BN32" s="221"/>
      <c r="BO32" s="221"/>
      <c r="BP32" s="221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</row>
    <row r="33" spans="1:83" s="151" customFormat="1" ht="23.25" customHeight="1" x14ac:dyDescent="0.35">
      <c r="A33" s="168">
        <f t="shared" si="19"/>
        <v>60</v>
      </c>
      <c r="B33" s="169"/>
      <c r="C33" s="174">
        <v>1</v>
      </c>
      <c r="D33" s="171"/>
      <c r="E33" s="168" t="s">
        <v>45</v>
      </c>
      <c r="F33" s="169"/>
      <c r="G33" s="169" t="s">
        <v>45</v>
      </c>
      <c r="H33" s="169"/>
      <c r="I33" s="168" t="s">
        <v>45</v>
      </c>
      <c r="J33" s="169"/>
      <c r="K33" s="168" t="s">
        <v>45</v>
      </c>
      <c r="L33" s="169"/>
      <c r="M33" s="168">
        <v>1</v>
      </c>
      <c r="N33" s="237">
        <f t="shared" si="22"/>
        <v>2023</v>
      </c>
      <c r="O33" s="168">
        <v>1</v>
      </c>
      <c r="P33" s="169"/>
      <c r="Q33" s="172">
        <v>1</v>
      </c>
      <c r="R33" s="173"/>
      <c r="S33" s="174">
        <f t="shared" si="17"/>
        <v>1</v>
      </c>
      <c r="T33" s="174"/>
      <c r="U33" s="175">
        <f t="shared" si="18"/>
        <v>47.575415706322005</v>
      </c>
      <c r="V33" s="171"/>
      <c r="W33" s="174">
        <f t="shared" si="20"/>
        <v>1</v>
      </c>
      <c r="X33" s="174"/>
      <c r="Y33" s="174">
        <f t="shared" si="21"/>
        <v>1.03</v>
      </c>
      <c r="Z33" s="174"/>
      <c r="AA33" s="174">
        <f t="shared" si="3"/>
        <v>1.0609</v>
      </c>
      <c r="AB33" s="174"/>
      <c r="AC33" s="174">
        <f t="shared" si="4"/>
        <v>1.092727</v>
      </c>
      <c r="AD33" s="174"/>
      <c r="AE33" s="174">
        <f t="shared" si="5"/>
        <v>1.1255088099999999</v>
      </c>
      <c r="AF33" s="174"/>
      <c r="AG33" s="174">
        <f t="shared" si="6"/>
        <v>1.1592740742999998</v>
      </c>
      <c r="AH33" s="174"/>
      <c r="AI33" s="174">
        <f t="shared" si="7"/>
        <v>1.1940522965289999</v>
      </c>
      <c r="AJ33" s="174"/>
      <c r="AK33" s="174">
        <f t="shared" si="8"/>
        <v>1.22987386542487</v>
      </c>
      <c r="AL33" s="174"/>
      <c r="AM33" s="174">
        <f t="shared" si="9"/>
        <v>1.2667700813876159</v>
      </c>
      <c r="AN33" s="174"/>
      <c r="AO33" s="174">
        <f t="shared" si="10"/>
        <v>1.3047731838292445</v>
      </c>
      <c r="AP33" s="174"/>
      <c r="AQ33" s="174">
        <f t="shared" si="11"/>
        <v>1.3439163793441218</v>
      </c>
      <c r="AR33" s="174"/>
      <c r="AS33" s="174">
        <f t="shared" si="12"/>
        <v>1.3842338707244455</v>
      </c>
      <c r="AT33" s="174"/>
      <c r="AU33" s="174">
        <f t="shared" si="13"/>
        <v>1.4257608868461786</v>
      </c>
      <c r="AV33" s="174"/>
      <c r="AW33" s="174">
        <f t="shared" si="14"/>
        <v>1.4685337134515639</v>
      </c>
      <c r="AX33" s="174"/>
      <c r="AY33" s="174">
        <f t="shared" si="15"/>
        <v>1.512589724855111</v>
      </c>
      <c r="AZ33" s="136"/>
      <c r="BA33" s="136"/>
      <c r="BJ33" s="221"/>
      <c r="BK33" s="221"/>
      <c r="BL33" s="221"/>
      <c r="BM33" s="221"/>
      <c r="BN33" s="221"/>
      <c r="BO33" s="221"/>
      <c r="BP33" s="221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</row>
    <row r="34" spans="1:83" ht="23.25" customHeight="1" x14ac:dyDescent="0.35">
      <c r="A34" s="168">
        <f t="shared" si="19"/>
        <v>61</v>
      </c>
      <c r="B34" s="169"/>
      <c r="C34" s="174">
        <v>1</v>
      </c>
      <c r="D34" s="171"/>
      <c r="E34" s="168" t="s">
        <v>45</v>
      </c>
      <c r="F34" s="169"/>
      <c r="G34" s="169" t="s">
        <v>45</v>
      </c>
      <c r="H34" s="169"/>
      <c r="I34" s="168" t="s">
        <v>45</v>
      </c>
      <c r="J34" s="169"/>
      <c r="K34" s="168" t="s">
        <v>45</v>
      </c>
      <c r="L34" s="169"/>
      <c r="M34" s="168">
        <v>1</v>
      </c>
      <c r="N34" s="237">
        <f t="shared" si="22"/>
        <v>2023</v>
      </c>
      <c r="O34" s="168">
        <v>1</v>
      </c>
      <c r="P34" s="169"/>
      <c r="Q34" s="172">
        <v>1</v>
      </c>
      <c r="R34" s="173"/>
      <c r="S34" s="174">
        <f t="shared" si="17"/>
        <v>1</v>
      </c>
      <c r="T34" s="174"/>
      <c r="U34" s="175">
        <f t="shared" si="18"/>
        <v>47.575415706322005</v>
      </c>
      <c r="V34" s="171"/>
      <c r="W34" s="174">
        <f t="shared" si="20"/>
        <v>1</v>
      </c>
      <c r="X34" s="174"/>
      <c r="Y34" s="174">
        <f t="shared" si="21"/>
        <v>1.03</v>
      </c>
      <c r="Z34" s="174"/>
      <c r="AA34" s="174">
        <f t="shared" si="3"/>
        <v>1.0609</v>
      </c>
      <c r="AB34" s="174"/>
      <c r="AC34" s="174">
        <f t="shared" si="4"/>
        <v>1.092727</v>
      </c>
      <c r="AD34" s="174"/>
      <c r="AE34" s="174">
        <f t="shared" si="5"/>
        <v>1.1255088099999999</v>
      </c>
      <c r="AF34" s="174"/>
      <c r="AG34" s="174">
        <f t="shared" si="6"/>
        <v>1.1592740742999998</v>
      </c>
      <c r="AH34" s="174"/>
      <c r="AI34" s="174">
        <f t="shared" si="7"/>
        <v>1.1940522965289999</v>
      </c>
      <c r="AJ34" s="174"/>
      <c r="AK34" s="174">
        <f t="shared" si="8"/>
        <v>1.22987386542487</v>
      </c>
      <c r="AL34" s="174"/>
      <c r="AM34" s="174">
        <f t="shared" si="9"/>
        <v>1.2667700813876159</v>
      </c>
      <c r="AN34" s="174"/>
      <c r="AO34" s="174">
        <f t="shared" si="10"/>
        <v>1.3047731838292445</v>
      </c>
      <c r="AP34" s="174"/>
      <c r="AQ34" s="174">
        <f t="shared" si="11"/>
        <v>1.3439163793441218</v>
      </c>
      <c r="AR34" s="174"/>
      <c r="AS34" s="174">
        <f t="shared" si="12"/>
        <v>1.3842338707244455</v>
      </c>
      <c r="AT34" s="174"/>
      <c r="AU34" s="174">
        <f t="shared" si="13"/>
        <v>1.4257608868461786</v>
      </c>
      <c r="AV34" s="174"/>
      <c r="AW34" s="174">
        <f t="shared" si="14"/>
        <v>1.4685337134515639</v>
      </c>
      <c r="AX34" s="174"/>
      <c r="AY34" s="174">
        <f t="shared" si="15"/>
        <v>1.512589724855111</v>
      </c>
      <c r="BJ34" s="178"/>
      <c r="BK34" s="178"/>
      <c r="BL34" s="178"/>
      <c r="BM34" s="178"/>
      <c r="BN34" s="178"/>
      <c r="BO34" s="178"/>
      <c r="BP34" s="178"/>
      <c r="BQ34" s="178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</row>
    <row r="35" spans="1:83" ht="23.25" customHeight="1" x14ac:dyDescent="0.35">
      <c r="A35" s="135">
        <f t="shared" si="19"/>
        <v>62</v>
      </c>
      <c r="C35" s="178">
        <v>1</v>
      </c>
      <c r="E35" s="135" t="s">
        <v>45</v>
      </c>
      <c r="G35" s="136" t="s">
        <v>45</v>
      </c>
      <c r="I35" s="135" t="s">
        <v>45</v>
      </c>
      <c r="K35" s="135" t="s">
        <v>45</v>
      </c>
      <c r="M35" s="135">
        <v>1</v>
      </c>
      <c r="N35" s="238">
        <f t="shared" si="22"/>
        <v>2023</v>
      </c>
      <c r="O35" s="135">
        <v>1</v>
      </c>
      <c r="Q35" s="176">
        <v>1</v>
      </c>
      <c r="R35" s="177"/>
      <c r="S35" s="178">
        <f t="shared" si="17"/>
        <v>1</v>
      </c>
      <c r="T35" s="178"/>
      <c r="U35" s="179">
        <f t="shared" si="18"/>
        <v>47.575415706322005</v>
      </c>
      <c r="V35" s="138"/>
      <c r="W35" s="178">
        <f t="shared" si="20"/>
        <v>1</v>
      </c>
      <c r="X35" s="178"/>
      <c r="Y35" s="178">
        <f t="shared" si="21"/>
        <v>1.03</v>
      </c>
      <c r="Z35" s="178"/>
      <c r="AA35" s="178">
        <f t="shared" si="3"/>
        <v>1.0609</v>
      </c>
      <c r="AB35" s="178"/>
      <c r="AC35" s="178">
        <f t="shared" si="4"/>
        <v>1.092727</v>
      </c>
      <c r="AD35" s="178"/>
      <c r="AE35" s="178">
        <f t="shared" si="5"/>
        <v>1.1255088099999999</v>
      </c>
      <c r="AF35" s="178"/>
      <c r="AG35" s="178">
        <f t="shared" si="6"/>
        <v>1.1592740742999998</v>
      </c>
      <c r="AH35" s="178"/>
      <c r="AI35" s="178">
        <f t="shared" si="7"/>
        <v>1.1940522965289999</v>
      </c>
      <c r="AJ35" s="178"/>
      <c r="AK35" s="178">
        <f t="shared" si="8"/>
        <v>1.22987386542487</v>
      </c>
      <c r="AL35" s="178"/>
      <c r="AM35" s="178">
        <f t="shared" si="9"/>
        <v>1.2667700813876159</v>
      </c>
      <c r="AN35" s="178"/>
      <c r="AO35" s="178">
        <f t="shared" si="10"/>
        <v>1.3047731838292445</v>
      </c>
      <c r="AP35" s="178"/>
      <c r="AQ35" s="178">
        <f t="shared" si="11"/>
        <v>1.3439163793441218</v>
      </c>
      <c r="AR35" s="178"/>
      <c r="AS35" s="178">
        <f t="shared" si="12"/>
        <v>1.3842338707244455</v>
      </c>
      <c r="AT35" s="178"/>
      <c r="AU35" s="178">
        <f t="shared" si="13"/>
        <v>1.4257608868461786</v>
      </c>
      <c r="AV35" s="178"/>
      <c r="AW35" s="178">
        <f t="shared" si="14"/>
        <v>1.4685337134515639</v>
      </c>
      <c r="AX35" s="178"/>
      <c r="AY35" s="178">
        <f t="shared" si="15"/>
        <v>1.512589724855111</v>
      </c>
      <c r="BJ35" s="178"/>
      <c r="BK35" s="178"/>
      <c r="BL35" s="178"/>
      <c r="BM35" s="178"/>
      <c r="BN35" s="178"/>
      <c r="BO35" s="178"/>
      <c r="BP35" s="178"/>
      <c r="BQ35" s="178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</row>
    <row r="36" spans="1:83" ht="24.75" customHeight="1" x14ac:dyDescent="0.35">
      <c r="O36" s="135"/>
      <c r="Q36" s="176"/>
      <c r="R36" s="177"/>
      <c r="S36" s="178"/>
      <c r="T36" s="178"/>
      <c r="U36" s="179"/>
      <c r="V36" s="13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BJ36" s="178"/>
      <c r="BK36" s="178"/>
      <c r="BL36" s="178"/>
      <c r="BM36" s="178"/>
      <c r="BN36" s="178"/>
      <c r="BO36" s="178"/>
      <c r="BP36" s="178"/>
      <c r="BQ36" s="178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</row>
    <row r="37" spans="1:83" ht="23.25" customHeight="1" x14ac:dyDescent="0.35">
      <c r="C37" s="137"/>
      <c r="O37" s="136"/>
      <c r="Q37" s="189"/>
      <c r="R37" s="177"/>
      <c r="S37" s="190"/>
      <c r="T37" s="178"/>
      <c r="U37" s="190"/>
      <c r="V37" s="138"/>
      <c r="W37" s="190"/>
      <c r="X37" s="178"/>
      <c r="Y37" s="190"/>
      <c r="Z37" s="178"/>
      <c r="AA37" s="190"/>
      <c r="AB37" s="178"/>
      <c r="AC37" s="190"/>
      <c r="AD37" s="178"/>
      <c r="AE37" s="190"/>
      <c r="AF37" s="178"/>
      <c r="AG37" s="190"/>
      <c r="AH37" s="178"/>
      <c r="AI37" s="190"/>
      <c r="AJ37" s="178"/>
      <c r="AK37" s="190"/>
      <c r="AL37" s="178"/>
      <c r="AM37" s="190"/>
      <c r="AN37" s="178"/>
      <c r="AO37" s="190"/>
      <c r="AP37" s="178"/>
      <c r="AQ37" s="190"/>
      <c r="AR37" s="178"/>
      <c r="AS37" s="190"/>
      <c r="AT37" s="178"/>
      <c r="AU37" s="190"/>
      <c r="AV37" s="178"/>
      <c r="AW37" s="190"/>
      <c r="AX37" s="178"/>
      <c r="AY37" s="190"/>
      <c r="BJ37" s="178"/>
      <c r="BK37" s="178"/>
      <c r="BL37" s="178"/>
      <c r="BM37" s="178"/>
      <c r="BN37" s="178"/>
      <c r="BO37" s="178"/>
      <c r="BP37" s="178"/>
      <c r="BQ37" s="178"/>
      <c r="BR37" s="167"/>
      <c r="BS37" s="167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</row>
    <row r="38" spans="1:83" ht="23.25" customHeight="1" thickBot="1" x14ac:dyDescent="0.4">
      <c r="C38" s="137"/>
      <c r="G38" s="141" t="s">
        <v>7</v>
      </c>
      <c r="Q38" s="178"/>
      <c r="R38" s="178"/>
      <c r="S38" s="191">
        <f>SUM(S14:S35)</f>
        <v>22</v>
      </c>
      <c r="T38" s="178"/>
      <c r="U38" s="191">
        <f>SUM(U14:U35)</f>
        <v>1046.6591455390842</v>
      </c>
      <c r="V38" s="138"/>
      <c r="W38" s="191">
        <f>SUM(W14:W36)</f>
        <v>22</v>
      </c>
      <c r="X38" s="138"/>
      <c r="Y38" s="191">
        <f>SUM(Y14:Y36)</f>
        <v>22.660000000000004</v>
      </c>
      <c r="Z38" s="138"/>
      <c r="AA38" s="191">
        <f>SUM(AA14:AA36)</f>
        <v>23.3398</v>
      </c>
      <c r="AB38" s="138"/>
      <c r="AC38" s="191">
        <f>SUM(AC14:AC36)</f>
        <v>24.039994</v>
      </c>
      <c r="AD38" s="138"/>
      <c r="AE38" s="191">
        <f>SUM(AE14:AE36)</f>
        <v>24.761193819999992</v>
      </c>
      <c r="AF38" s="138"/>
      <c r="AG38" s="191">
        <f>SUM(AG14:AG36)</f>
        <v>25.504029634600009</v>
      </c>
      <c r="AH38" s="138"/>
      <c r="AI38" s="191">
        <f>SUM(AI14:AI36)</f>
        <v>26.269150523638011</v>
      </c>
      <c r="AJ38" s="138"/>
      <c r="AK38" s="191">
        <f>SUM(AK14:AK36)</f>
        <v>27.057225039347152</v>
      </c>
      <c r="AL38" s="138"/>
      <c r="AM38" s="191">
        <f>SUM(AM14:AM36)</f>
        <v>27.86894179052755</v>
      </c>
      <c r="AN38" s="138"/>
      <c r="AO38" s="191">
        <f>SUM(AO14:AO36)</f>
        <v>28.705010044243377</v>
      </c>
      <c r="AP38" s="138"/>
      <c r="AQ38" s="191">
        <f>SUM(AQ14:AQ36)</f>
        <v>29.56616034557069</v>
      </c>
      <c r="AR38" s="138"/>
      <c r="AS38" s="191">
        <f>SUM(AS14:AS36)</f>
        <v>30.453145155937783</v>
      </c>
      <c r="AT38" s="138"/>
      <c r="AU38" s="191">
        <f>SUM(AU14:AU36)</f>
        <v>31.366739510615918</v>
      </c>
      <c r="AV38" s="138"/>
      <c r="AW38" s="191">
        <f>SUM(AW14:AW36)</f>
        <v>32.307741695934403</v>
      </c>
      <c r="AX38" s="138"/>
      <c r="AY38" s="191">
        <f>SUM(AY14:AY36)</f>
        <v>33.27697394681244</v>
      </c>
      <c r="BJ38" s="178"/>
      <c r="BK38" s="178"/>
      <c r="BL38" s="178"/>
      <c r="BM38" s="178"/>
      <c r="BN38" s="178"/>
      <c r="BO38" s="178"/>
      <c r="BP38" s="178"/>
      <c r="BQ38" s="178"/>
      <c r="BR38" s="167"/>
      <c r="BS38" s="167"/>
      <c r="BT38" s="167"/>
      <c r="BU38" s="167"/>
      <c r="BV38" s="167"/>
      <c r="BW38" s="167"/>
      <c r="BX38" s="167"/>
      <c r="BY38" s="167"/>
      <c r="BZ38" s="167"/>
      <c r="CA38" s="167"/>
      <c r="CB38" s="167"/>
      <c r="CC38" s="167"/>
      <c r="CD38" s="167"/>
      <c r="CE38" s="167"/>
    </row>
    <row r="39" spans="1:83" ht="23.25" customHeight="1" thickTop="1" x14ac:dyDescent="0.35">
      <c r="C39" s="137"/>
      <c r="G39" s="141"/>
      <c r="Q39" s="178"/>
      <c r="R39" s="178"/>
      <c r="S39" s="192"/>
      <c r="T39" s="178"/>
      <c r="U39" s="192"/>
      <c r="V39" s="138"/>
      <c r="W39" s="192"/>
      <c r="X39" s="138"/>
      <c r="Y39" s="192"/>
      <c r="Z39" s="138"/>
      <c r="AA39" s="192"/>
      <c r="AB39" s="138"/>
      <c r="AC39" s="192"/>
      <c r="AD39" s="138"/>
      <c r="AE39" s="192"/>
      <c r="AF39" s="138"/>
      <c r="AG39" s="192"/>
      <c r="AH39" s="138"/>
      <c r="AI39" s="192"/>
      <c r="AJ39" s="138"/>
      <c r="AK39" s="192"/>
      <c r="AL39" s="138"/>
      <c r="AM39" s="192"/>
      <c r="AN39" s="138"/>
      <c r="AO39" s="192"/>
      <c r="AP39" s="138"/>
      <c r="AQ39" s="192"/>
      <c r="AR39" s="138"/>
      <c r="AS39" s="192"/>
      <c r="AT39" s="138"/>
      <c r="AU39" s="192"/>
      <c r="AV39" s="138"/>
      <c r="AW39" s="192"/>
      <c r="AX39" s="138"/>
      <c r="AY39" s="192"/>
      <c r="BJ39" s="178"/>
      <c r="BK39" s="178"/>
      <c r="BL39" s="178"/>
      <c r="BM39" s="178"/>
      <c r="BN39" s="178"/>
      <c r="BO39" s="178"/>
      <c r="BP39" s="178"/>
      <c r="BQ39" s="178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</row>
    <row r="40" spans="1:83" ht="23.25" customHeight="1" x14ac:dyDescent="0.35">
      <c r="A40" s="193"/>
      <c r="B40" s="194"/>
      <c r="C40" s="195"/>
      <c r="D40" s="196"/>
      <c r="E40" s="193"/>
      <c r="F40" s="194"/>
      <c r="G40" s="194"/>
      <c r="H40" s="194"/>
      <c r="I40" s="193"/>
      <c r="J40" s="194"/>
      <c r="K40" s="193"/>
      <c r="L40" s="194"/>
      <c r="M40" s="193"/>
      <c r="N40" s="194"/>
      <c r="O40" s="197"/>
      <c r="P40" s="194"/>
      <c r="Q40" s="198"/>
      <c r="R40" s="194"/>
      <c r="S40" s="199"/>
      <c r="T40" s="200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/>
      <c r="AY40" s="201"/>
    </row>
    <row r="41" spans="1:83" ht="23.25" customHeight="1" x14ac:dyDescent="0.35">
      <c r="A41" s="150"/>
      <c r="B41" s="151"/>
      <c r="C41" s="203"/>
      <c r="D41" s="179"/>
      <c r="E41" s="150"/>
      <c r="F41" s="151"/>
      <c r="G41" s="151"/>
      <c r="H41" s="151"/>
      <c r="I41" s="150"/>
      <c r="J41" s="151"/>
      <c r="K41" s="150"/>
      <c r="L41" s="151"/>
      <c r="M41" s="150"/>
      <c r="N41" s="151"/>
      <c r="O41" s="204"/>
      <c r="P41" s="151"/>
      <c r="Q41" s="205"/>
      <c r="R41" s="151"/>
      <c r="S41" s="206"/>
      <c r="T41" s="206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</row>
    <row r="42" spans="1:83" ht="23.25" customHeight="1" x14ac:dyDescent="0.35">
      <c r="A42" s="283" t="s">
        <v>0</v>
      </c>
      <c r="C42" s="137"/>
      <c r="H42" s="142"/>
      <c r="I42" s="142">
        <v>16</v>
      </c>
      <c r="J42" s="142"/>
      <c r="K42" s="142">
        <v>17</v>
      </c>
      <c r="L42" s="142"/>
      <c r="M42" s="142">
        <v>18</v>
      </c>
      <c r="N42" s="142"/>
      <c r="O42" s="142">
        <v>19</v>
      </c>
      <c r="P42" s="142"/>
      <c r="Q42" s="142">
        <v>20</v>
      </c>
      <c r="R42" s="142"/>
      <c r="S42" s="142">
        <f>+Q42+1</f>
        <v>21</v>
      </c>
      <c r="T42" s="142"/>
      <c r="U42" s="142">
        <f>+S42+1</f>
        <v>22</v>
      </c>
      <c r="V42" s="142"/>
      <c r="W42" s="142">
        <f>+U42+1</f>
        <v>23</v>
      </c>
      <c r="X42" s="142"/>
      <c r="Y42" s="142">
        <f>+W42+1</f>
        <v>24</v>
      </c>
      <c r="Z42" s="142"/>
      <c r="AA42" s="142">
        <f>+Y42+1</f>
        <v>25</v>
      </c>
      <c r="AC42" s="142">
        <f>+AA42+1</f>
        <v>26</v>
      </c>
      <c r="AE42" s="142">
        <f>+AC42+1</f>
        <v>27</v>
      </c>
      <c r="AG42" s="142">
        <f>+AE42+1</f>
        <v>28</v>
      </c>
      <c r="AI42" s="142">
        <f>+AG42+1</f>
        <v>29</v>
      </c>
      <c r="AK42" s="142">
        <f>+AI42+1</f>
        <v>30</v>
      </c>
    </row>
    <row r="43" spans="1:83" ht="23.25" customHeight="1" x14ac:dyDescent="0.35">
      <c r="A43" s="284"/>
      <c r="B43" s="155"/>
      <c r="C43" s="156" t="s">
        <v>30</v>
      </c>
      <c r="D43" s="157"/>
      <c r="E43" s="158" t="s">
        <v>1</v>
      </c>
      <c r="G43" s="158" t="s">
        <v>2</v>
      </c>
      <c r="H43" s="155"/>
      <c r="I43" s="158">
        <f>AY10+1</f>
        <v>2039</v>
      </c>
      <c r="J43" s="158">
        <f>AZ10+1</f>
        <v>1</v>
      </c>
      <c r="K43" s="158">
        <f t="shared" ref="K43:Q43" si="23">I43+1</f>
        <v>2040</v>
      </c>
      <c r="L43" s="158">
        <f t="shared" si="23"/>
        <v>2</v>
      </c>
      <c r="M43" s="158">
        <f t="shared" si="23"/>
        <v>2041</v>
      </c>
      <c r="N43" s="158">
        <f t="shared" si="23"/>
        <v>3</v>
      </c>
      <c r="O43" s="158">
        <f t="shared" si="23"/>
        <v>2042</v>
      </c>
      <c r="P43" s="158">
        <f t="shared" si="23"/>
        <v>4</v>
      </c>
      <c r="Q43" s="158">
        <f t="shared" si="23"/>
        <v>2043</v>
      </c>
      <c r="R43" s="158"/>
      <c r="S43" s="158">
        <f>+Q43+1</f>
        <v>2044</v>
      </c>
      <c r="T43" s="158">
        <f t="shared" ref="T43:AK43" si="24">R43+1</f>
        <v>1</v>
      </c>
      <c r="U43" s="158">
        <f t="shared" si="24"/>
        <v>2045</v>
      </c>
      <c r="V43" s="158">
        <f>T43+1</f>
        <v>2</v>
      </c>
      <c r="W43" s="158">
        <f>U43+1</f>
        <v>2046</v>
      </c>
      <c r="X43" s="158">
        <f t="shared" si="24"/>
        <v>3</v>
      </c>
      <c r="Y43" s="158">
        <f t="shared" si="24"/>
        <v>2047</v>
      </c>
      <c r="Z43" s="158">
        <f t="shared" si="24"/>
        <v>4</v>
      </c>
      <c r="AA43" s="158">
        <f t="shared" si="24"/>
        <v>2048</v>
      </c>
      <c r="AC43" s="158">
        <f t="shared" si="24"/>
        <v>2049</v>
      </c>
      <c r="AE43" s="158">
        <f t="shared" si="24"/>
        <v>2050</v>
      </c>
      <c r="AG43" s="158">
        <f t="shared" si="24"/>
        <v>2051</v>
      </c>
      <c r="AI43" s="158">
        <f t="shared" si="24"/>
        <v>2052</v>
      </c>
      <c r="AK43" s="158">
        <f t="shared" si="24"/>
        <v>2053</v>
      </c>
      <c r="AL43" s="155"/>
    </row>
    <row r="44" spans="1:83" ht="9.9499999999999993" customHeight="1" x14ac:dyDescent="0.35">
      <c r="B44" s="155"/>
      <c r="C44" s="161"/>
      <c r="D44" s="157"/>
      <c r="E44" s="154"/>
      <c r="G44" s="154"/>
      <c r="H44" s="155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155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</row>
    <row r="45" spans="1:83" x14ac:dyDescent="0.35">
      <c r="C45" s="137"/>
      <c r="G45" s="164" t="str">
        <f>+G12</f>
        <v>ELEMENTS</v>
      </c>
      <c r="I45" s="136"/>
      <c r="K45" s="136"/>
      <c r="M45" s="136"/>
      <c r="O45" s="136"/>
      <c r="Q45" s="136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Z45" s="140"/>
      <c r="BA45" s="140"/>
      <c r="BB45" s="140"/>
      <c r="BC45" s="140"/>
      <c r="BD45" s="140"/>
      <c r="BE45" s="140"/>
      <c r="BF45" s="140"/>
      <c r="BG45" s="140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0"/>
      <c r="CB45" s="140"/>
    </row>
    <row r="46" spans="1:83" x14ac:dyDescent="0.35">
      <c r="C46" s="137"/>
      <c r="G46" s="144"/>
      <c r="I46" s="167"/>
      <c r="J46" s="167"/>
      <c r="K46" s="167"/>
      <c r="L46" s="167"/>
      <c r="M46" s="167"/>
      <c r="N46" s="167"/>
      <c r="O46" s="167"/>
      <c r="P46" s="167"/>
      <c r="Q46" s="16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</row>
    <row r="47" spans="1:83" x14ac:dyDescent="0.35">
      <c r="A47" s="168">
        <f t="shared" ref="A47:A68" si="25">+A14</f>
        <v>41</v>
      </c>
      <c r="B47" s="169"/>
      <c r="C47" s="174">
        <f t="shared" ref="C47:C66" si="26">+C14</f>
        <v>1</v>
      </c>
      <c r="D47" s="171"/>
      <c r="E47" s="168" t="str">
        <f t="shared" ref="E47:E66" si="27">+E14</f>
        <v>x</v>
      </c>
      <c r="F47" s="169"/>
      <c r="G47" s="169" t="str">
        <f t="shared" ref="G47:G66" si="28">+G14</f>
        <v>x</v>
      </c>
      <c r="H47" s="169"/>
      <c r="I47" s="208">
        <f t="shared" ref="I47:I52" si="29">FV($U$6,AY$9,,-$S14,0)</f>
        <v>1.5579674166007644</v>
      </c>
      <c r="J47" s="208"/>
      <c r="K47" s="208">
        <f t="shared" ref="K47:K52" si="30">FV($U$6,I$42,,-$S14,0)</f>
        <v>1.6047064390987871</v>
      </c>
      <c r="L47" s="208"/>
      <c r="M47" s="208">
        <f t="shared" ref="M47:M68" si="31">FV($U$6,K$42,,-$S14,0)</f>
        <v>1.6528476322717507</v>
      </c>
      <c r="N47" s="208"/>
      <c r="O47" s="208">
        <f t="shared" ref="O47:O68" si="32">FV($U$6,M$42,,-$S14,0)</f>
        <v>1.7024330612399032</v>
      </c>
      <c r="P47" s="208"/>
      <c r="Q47" s="208">
        <f t="shared" ref="Q47:Q68" si="33">FV($U$6,O$42,,-$S14,0)</f>
        <v>1.7535060530771003</v>
      </c>
      <c r="R47" s="208"/>
      <c r="S47" s="208">
        <f t="shared" ref="S47:S68" si="34">FV($U$6,Q$42,,-$S14,0)</f>
        <v>1.8061112346694133</v>
      </c>
      <c r="T47" s="208"/>
      <c r="U47" s="208">
        <f t="shared" ref="U47:U68" si="35">FV($U$6,S$42,,-$S14,0)</f>
        <v>1.8602945717094954</v>
      </c>
      <c r="V47" s="208"/>
      <c r="W47" s="208">
        <f t="shared" ref="W47:W68" si="36">FV($U$6,U$42,,-$S14,0)</f>
        <v>1.9161034088607805</v>
      </c>
      <c r="X47" s="208"/>
      <c r="Y47" s="208">
        <f t="shared" ref="Y47:Y68" si="37">FV($U$6,W$42,,-$S14,0)</f>
        <v>1.973586511126604</v>
      </c>
      <c r="Z47" s="208"/>
      <c r="AA47" s="208">
        <f t="shared" ref="AA47:AA68" si="38">FV($U$6,Y$42,,-$S14,0)</f>
        <v>2.0327941064604018</v>
      </c>
      <c r="AB47" s="208"/>
      <c r="AC47" s="208">
        <f t="shared" ref="AC47:AC68" si="39">FV($U$6,AA$42,,-$S14,0)</f>
        <v>2.0937779296542138</v>
      </c>
      <c r="AD47" s="208"/>
      <c r="AE47" s="208">
        <f t="shared" ref="AE47:AE68" si="40">FV($U$6,AC$42,,-$S14,0)</f>
        <v>2.1565912675438406</v>
      </c>
      <c r="AF47" s="208"/>
      <c r="AG47" s="208">
        <f t="shared" ref="AG47:AG68" si="41">FV($U$6,AE$42,,-$S14,0)</f>
        <v>2.2212890055701555</v>
      </c>
      <c r="AH47" s="208"/>
      <c r="AI47" s="208">
        <f t="shared" ref="AI47:AI68" si="42">FV($U$6,AG$42,,-$S14,0)</f>
        <v>2.2879276757372602</v>
      </c>
      <c r="AJ47" s="208"/>
      <c r="AK47" s="208">
        <f t="shared" ref="AK47:AK67" si="43">FV($U$6,AI$42,,-$S14,0)</f>
        <v>2.3565655060093778</v>
      </c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</row>
    <row r="48" spans="1:83" x14ac:dyDescent="0.35">
      <c r="A48" s="168">
        <f t="shared" si="25"/>
        <v>42</v>
      </c>
      <c r="B48" s="169"/>
      <c r="C48" s="173">
        <f t="shared" si="26"/>
        <v>1</v>
      </c>
      <c r="D48" s="171"/>
      <c r="E48" s="168" t="str">
        <f t="shared" si="27"/>
        <v>x</v>
      </c>
      <c r="F48" s="169"/>
      <c r="G48" s="169" t="str">
        <f t="shared" si="28"/>
        <v>x</v>
      </c>
      <c r="H48" s="169"/>
      <c r="I48" s="208">
        <f t="shared" si="29"/>
        <v>1.5579674166007644</v>
      </c>
      <c r="J48" s="208"/>
      <c r="K48" s="208">
        <f t="shared" si="30"/>
        <v>1.6047064390987871</v>
      </c>
      <c r="L48" s="208"/>
      <c r="M48" s="208">
        <f t="shared" si="31"/>
        <v>1.6528476322717507</v>
      </c>
      <c r="N48" s="208"/>
      <c r="O48" s="208">
        <f t="shared" si="32"/>
        <v>1.7024330612399032</v>
      </c>
      <c r="P48" s="208"/>
      <c r="Q48" s="208">
        <f t="shared" si="33"/>
        <v>1.7535060530771003</v>
      </c>
      <c r="R48" s="208"/>
      <c r="S48" s="208">
        <f t="shared" si="34"/>
        <v>1.8061112346694133</v>
      </c>
      <c r="T48" s="208"/>
      <c r="U48" s="208">
        <f t="shared" si="35"/>
        <v>1.8602945717094954</v>
      </c>
      <c r="V48" s="208"/>
      <c r="W48" s="208">
        <f t="shared" si="36"/>
        <v>1.9161034088607805</v>
      </c>
      <c r="X48" s="208"/>
      <c r="Y48" s="208">
        <f t="shared" si="37"/>
        <v>1.973586511126604</v>
      </c>
      <c r="Z48" s="208"/>
      <c r="AA48" s="208">
        <f t="shared" si="38"/>
        <v>2.0327941064604018</v>
      </c>
      <c r="AB48" s="208"/>
      <c r="AC48" s="208">
        <f t="shared" si="39"/>
        <v>2.0937779296542138</v>
      </c>
      <c r="AD48" s="208"/>
      <c r="AE48" s="208">
        <f t="shared" si="40"/>
        <v>2.1565912675438406</v>
      </c>
      <c r="AF48" s="208"/>
      <c r="AG48" s="208">
        <f t="shared" si="41"/>
        <v>2.2212890055701555</v>
      </c>
      <c r="AH48" s="208"/>
      <c r="AI48" s="208">
        <f t="shared" si="42"/>
        <v>2.2879276757372602</v>
      </c>
      <c r="AJ48" s="208"/>
      <c r="AK48" s="208">
        <f t="shared" si="43"/>
        <v>2.3565655060093778</v>
      </c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0"/>
      <c r="CB48" s="140"/>
    </row>
    <row r="49" spans="1:80" x14ac:dyDescent="0.35">
      <c r="A49" s="168">
        <f t="shared" si="25"/>
        <v>43</v>
      </c>
      <c r="B49" s="169"/>
      <c r="C49" s="173">
        <f t="shared" si="26"/>
        <v>1</v>
      </c>
      <c r="D49" s="171"/>
      <c r="E49" s="168" t="str">
        <f t="shared" si="27"/>
        <v>x</v>
      </c>
      <c r="F49" s="169"/>
      <c r="G49" s="169" t="str">
        <f t="shared" si="28"/>
        <v>x</v>
      </c>
      <c r="H49" s="169"/>
      <c r="I49" s="208">
        <f t="shared" si="29"/>
        <v>1.5579674166007644</v>
      </c>
      <c r="J49" s="208"/>
      <c r="K49" s="208">
        <f t="shared" si="30"/>
        <v>1.6047064390987871</v>
      </c>
      <c r="L49" s="208"/>
      <c r="M49" s="208">
        <f t="shared" si="31"/>
        <v>1.6528476322717507</v>
      </c>
      <c r="N49" s="208"/>
      <c r="O49" s="208">
        <f t="shared" si="32"/>
        <v>1.7024330612399032</v>
      </c>
      <c r="P49" s="208"/>
      <c r="Q49" s="208">
        <f t="shared" si="33"/>
        <v>1.7535060530771003</v>
      </c>
      <c r="R49" s="208"/>
      <c r="S49" s="208">
        <f t="shared" si="34"/>
        <v>1.8061112346694133</v>
      </c>
      <c r="T49" s="208"/>
      <c r="U49" s="208">
        <f t="shared" si="35"/>
        <v>1.8602945717094954</v>
      </c>
      <c r="V49" s="208"/>
      <c r="W49" s="208">
        <f t="shared" si="36"/>
        <v>1.9161034088607805</v>
      </c>
      <c r="X49" s="208"/>
      <c r="Y49" s="208">
        <f t="shared" si="37"/>
        <v>1.973586511126604</v>
      </c>
      <c r="Z49" s="208"/>
      <c r="AA49" s="208">
        <f t="shared" si="38"/>
        <v>2.0327941064604018</v>
      </c>
      <c r="AB49" s="208"/>
      <c r="AC49" s="208">
        <f t="shared" si="39"/>
        <v>2.0937779296542138</v>
      </c>
      <c r="AD49" s="208"/>
      <c r="AE49" s="208">
        <f t="shared" si="40"/>
        <v>2.1565912675438406</v>
      </c>
      <c r="AF49" s="208"/>
      <c r="AG49" s="208">
        <f t="shared" si="41"/>
        <v>2.2212890055701555</v>
      </c>
      <c r="AH49" s="208"/>
      <c r="AI49" s="208">
        <f t="shared" si="42"/>
        <v>2.2879276757372602</v>
      </c>
      <c r="AJ49" s="208"/>
      <c r="AK49" s="208">
        <f t="shared" si="43"/>
        <v>2.3565655060093778</v>
      </c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</row>
    <row r="50" spans="1:80" x14ac:dyDescent="0.35">
      <c r="A50" s="135">
        <f t="shared" si="25"/>
        <v>44</v>
      </c>
      <c r="C50" s="177">
        <f t="shared" si="26"/>
        <v>1</v>
      </c>
      <c r="E50" s="135" t="str">
        <f t="shared" si="27"/>
        <v>x</v>
      </c>
      <c r="G50" s="136" t="str">
        <f t="shared" si="28"/>
        <v>x</v>
      </c>
      <c r="I50" s="210">
        <f t="shared" si="29"/>
        <v>1.5579674166007644</v>
      </c>
      <c r="J50" s="210"/>
      <c r="K50" s="210">
        <f t="shared" si="30"/>
        <v>1.6047064390987871</v>
      </c>
      <c r="L50" s="210"/>
      <c r="M50" s="210">
        <f t="shared" si="31"/>
        <v>1.6528476322717507</v>
      </c>
      <c r="N50" s="210"/>
      <c r="O50" s="210">
        <f t="shared" si="32"/>
        <v>1.7024330612399032</v>
      </c>
      <c r="P50" s="210"/>
      <c r="Q50" s="210">
        <f t="shared" si="33"/>
        <v>1.7535060530771003</v>
      </c>
      <c r="R50" s="210"/>
      <c r="S50" s="210">
        <f t="shared" si="34"/>
        <v>1.8061112346694133</v>
      </c>
      <c r="T50" s="210"/>
      <c r="U50" s="210">
        <f t="shared" si="35"/>
        <v>1.8602945717094954</v>
      </c>
      <c r="V50" s="210"/>
      <c r="W50" s="210">
        <f t="shared" si="36"/>
        <v>1.9161034088607805</v>
      </c>
      <c r="X50" s="210"/>
      <c r="Y50" s="210">
        <f t="shared" si="37"/>
        <v>1.973586511126604</v>
      </c>
      <c r="Z50" s="210"/>
      <c r="AA50" s="210">
        <f t="shared" si="38"/>
        <v>2.0327941064604018</v>
      </c>
      <c r="AB50" s="210"/>
      <c r="AC50" s="210">
        <f t="shared" si="39"/>
        <v>2.0937779296542138</v>
      </c>
      <c r="AD50" s="210"/>
      <c r="AE50" s="210">
        <f t="shared" si="40"/>
        <v>2.1565912675438406</v>
      </c>
      <c r="AF50" s="210"/>
      <c r="AG50" s="210">
        <f t="shared" si="41"/>
        <v>2.2212890055701555</v>
      </c>
      <c r="AH50" s="210"/>
      <c r="AI50" s="210">
        <f t="shared" si="42"/>
        <v>2.2879276757372602</v>
      </c>
      <c r="AJ50" s="210"/>
      <c r="AK50" s="210">
        <f t="shared" si="43"/>
        <v>2.3565655060093778</v>
      </c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40"/>
      <c r="BI50" s="140"/>
      <c r="BJ50" s="140"/>
      <c r="BK50" s="140"/>
      <c r="BL50" s="140"/>
      <c r="BM50" s="140"/>
      <c r="BN50" s="140"/>
      <c r="BO50" s="140"/>
      <c r="BP50" s="140"/>
      <c r="BQ50" s="140"/>
      <c r="BR50" s="140"/>
      <c r="BS50" s="140"/>
      <c r="BT50" s="140"/>
      <c r="BU50" s="140"/>
      <c r="BV50" s="140"/>
      <c r="BW50" s="140"/>
      <c r="BX50" s="140"/>
      <c r="BY50" s="140"/>
      <c r="BZ50" s="140"/>
      <c r="CA50" s="140"/>
      <c r="CB50" s="140"/>
    </row>
    <row r="51" spans="1:80" x14ac:dyDescent="0.35">
      <c r="A51" s="135">
        <f t="shared" si="25"/>
        <v>45</v>
      </c>
      <c r="C51" s="177">
        <f t="shared" si="26"/>
        <v>1</v>
      </c>
      <c r="E51" s="135" t="str">
        <f t="shared" si="27"/>
        <v>x</v>
      </c>
      <c r="G51" s="136" t="str">
        <f t="shared" si="28"/>
        <v>x</v>
      </c>
      <c r="I51" s="210">
        <f t="shared" si="29"/>
        <v>1.5579674166007644</v>
      </c>
      <c r="J51" s="210"/>
      <c r="K51" s="210">
        <f t="shared" si="30"/>
        <v>1.6047064390987871</v>
      </c>
      <c r="L51" s="210"/>
      <c r="M51" s="210">
        <f t="shared" si="31"/>
        <v>1.6528476322717507</v>
      </c>
      <c r="N51" s="210"/>
      <c r="O51" s="210">
        <f t="shared" si="32"/>
        <v>1.7024330612399032</v>
      </c>
      <c r="P51" s="210"/>
      <c r="Q51" s="210">
        <f t="shared" si="33"/>
        <v>1.7535060530771003</v>
      </c>
      <c r="R51" s="210"/>
      <c r="S51" s="210">
        <f t="shared" si="34"/>
        <v>1.8061112346694133</v>
      </c>
      <c r="T51" s="210"/>
      <c r="U51" s="210">
        <f t="shared" si="35"/>
        <v>1.8602945717094954</v>
      </c>
      <c r="V51" s="210"/>
      <c r="W51" s="210">
        <f t="shared" si="36"/>
        <v>1.9161034088607805</v>
      </c>
      <c r="X51" s="210"/>
      <c r="Y51" s="210">
        <f t="shared" si="37"/>
        <v>1.973586511126604</v>
      </c>
      <c r="Z51" s="210"/>
      <c r="AA51" s="210">
        <f t="shared" si="38"/>
        <v>2.0327941064604018</v>
      </c>
      <c r="AB51" s="210"/>
      <c r="AC51" s="210">
        <f t="shared" si="39"/>
        <v>2.0937779296542138</v>
      </c>
      <c r="AD51" s="210"/>
      <c r="AE51" s="210">
        <f t="shared" si="40"/>
        <v>2.1565912675438406</v>
      </c>
      <c r="AF51" s="210"/>
      <c r="AG51" s="210">
        <f t="shared" si="41"/>
        <v>2.2212890055701555</v>
      </c>
      <c r="AH51" s="210"/>
      <c r="AI51" s="210">
        <f t="shared" si="42"/>
        <v>2.2879276757372602</v>
      </c>
      <c r="AJ51" s="210"/>
      <c r="AK51" s="210">
        <f t="shared" si="43"/>
        <v>2.3565655060093778</v>
      </c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</row>
    <row r="52" spans="1:80" x14ac:dyDescent="0.35">
      <c r="A52" s="135">
        <f t="shared" si="25"/>
        <v>46</v>
      </c>
      <c r="C52" s="177">
        <f t="shared" si="26"/>
        <v>1</v>
      </c>
      <c r="E52" s="135" t="str">
        <f t="shared" si="27"/>
        <v>x</v>
      </c>
      <c r="G52" s="211" t="str">
        <f t="shared" si="28"/>
        <v>x</v>
      </c>
      <c r="I52" s="210">
        <f t="shared" si="29"/>
        <v>1.5579674166007644</v>
      </c>
      <c r="J52" s="210"/>
      <c r="K52" s="210">
        <f t="shared" si="30"/>
        <v>1.6047064390987871</v>
      </c>
      <c r="L52" s="210"/>
      <c r="M52" s="210">
        <f t="shared" si="31"/>
        <v>1.6528476322717507</v>
      </c>
      <c r="N52" s="210"/>
      <c r="O52" s="210">
        <f t="shared" si="32"/>
        <v>1.7024330612399032</v>
      </c>
      <c r="P52" s="210"/>
      <c r="Q52" s="210">
        <f t="shared" si="33"/>
        <v>1.7535060530771003</v>
      </c>
      <c r="R52" s="210"/>
      <c r="S52" s="210">
        <f t="shared" si="34"/>
        <v>1.8061112346694133</v>
      </c>
      <c r="T52" s="210"/>
      <c r="U52" s="210">
        <f t="shared" si="35"/>
        <v>1.8602945717094954</v>
      </c>
      <c r="V52" s="210"/>
      <c r="W52" s="210">
        <f t="shared" si="36"/>
        <v>1.9161034088607805</v>
      </c>
      <c r="X52" s="210"/>
      <c r="Y52" s="210">
        <f t="shared" si="37"/>
        <v>1.973586511126604</v>
      </c>
      <c r="Z52" s="210"/>
      <c r="AA52" s="210">
        <f t="shared" si="38"/>
        <v>2.0327941064604018</v>
      </c>
      <c r="AB52" s="210"/>
      <c r="AC52" s="210">
        <f t="shared" si="39"/>
        <v>2.0937779296542138</v>
      </c>
      <c r="AD52" s="210"/>
      <c r="AE52" s="210">
        <f t="shared" si="40"/>
        <v>2.1565912675438406</v>
      </c>
      <c r="AF52" s="210"/>
      <c r="AG52" s="210">
        <f t="shared" si="41"/>
        <v>2.2212890055701555</v>
      </c>
      <c r="AH52" s="210"/>
      <c r="AI52" s="210">
        <f t="shared" si="42"/>
        <v>2.2879276757372602</v>
      </c>
      <c r="AJ52" s="210"/>
      <c r="AK52" s="210">
        <f t="shared" si="43"/>
        <v>2.3565655060093778</v>
      </c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140"/>
      <c r="BH52" s="140"/>
      <c r="BI52" s="140"/>
      <c r="BJ52" s="140"/>
      <c r="BK52" s="140"/>
      <c r="BL52" s="140"/>
      <c r="BM52" s="140"/>
      <c r="BN52" s="140"/>
      <c r="BO52" s="140"/>
      <c r="BP52" s="140"/>
      <c r="BQ52" s="140"/>
      <c r="BR52" s="140"/>
      <c r="BS52" s="140"/>
      <c r="BT52" s="140"/>
      <c r="BU52" s="140"/>
      <c r="BV52" s="140"/>
      <c r="BW52" s="140"/>
      <c r="BX52" s="140"/>
      <c r="BY52" s="140"/>
      <c r="BZ52" s="140"/>
      <c r="CA52" s="140"/>
      <c r="CB52" s="140"/>
    </row>
    <row r="53" spans="1:80" x14ac:dyDescent="0.35">
      <c r="A53" s="168">
        <f t="shared" si="25"/>
        <v>47</v>
      </c>
      <c r="B53" s="169"/>
      <c r="C53" s="173">
        <f t="shared" si="26"/>
        <v>1</v>
      </c>
      <c r="D53" s="171"/>
      <c r="E53" s="170" t="str">
        <f t="shared" si="27"/>
        <v>x</v>
      </c>
      <c r="F53" s="169"/>
      <c r="G53" s="212" t="str">
        <f t="shared" si="28"/>
        <v>x</v>
      </c>
      <c r="H53" s="169"/>
      <c r="I53" s="208">
        <f t="shared" ref="I53:I67" si="44">FV($U$6,AY$9,,-$S20,0)</f>
        <v>1.5579674166007644</v>
      </c>
      <c r="J53" s="208"/>
      <c r="K53" s="208">
        <f t="shared" ref="K53:K68" si="45">FV($U$6,I$42,,-$S20,0)</f>
        <v>1.6047064390987871</v>
      </c>
      <c r="L53" s="208"/>
      <c r="M53" s="208">
        <f t="shared" si="31"/>
        <v>1.6528476322717507</v>
      </c>
      <c r="N53" s="208"/>
      <c r="O53" s="208">
        <f t="shared" si="32"/>
        <v>1.7024330612399032</v>
      </c>
      <c r="P53" s="208"/>
      <c r="Q53" s="208">
        <f t="shared" si="33"/>
        <v>1.7535060530771003</v>
      </c>
      <c r="R53" s="208"/>
      <c r="S53" s="208">
        <f t="shared" si="34"/>
        <v>1.8061112346694133</v>
      </c>
      <c r="T53" s="208"/>
      <c r="U53" s="208">
        <f t="shared" si="35"/>
        <v>1.8602945717094954</v>
      </c>
      <c r="V53" s="208"/>
      <c r="W53" s="208">
        <f t="shared" si="36"/>
        <v>1.9161034088607805</v>
      </c>
      <c r="X53" s="208"/>
      <c r="Y53" s="208">
        <f t="shared" si="37"/>
        <v>1.973586511126604</v>
      </c>
      <c r="Z53" s="208"/>
      <c r="AA53" s="208">
        <f t="shared" si="38"/>
        <v>2.0327941064604018</v>
      </c>
      <c r="AB53" s="208"/>
      <c r="AC53" s="208">
        <f t="shared" si="39"/>
        <v>2.0937779296542138</v>
      </c>
      <c r="AD53" s="208"/>
      <c r="AE53" s="208">
        <f t="shared" si="40"/>
        <v>2.1565912675438406</v>
      </c>
      <c r="AF53" s="208"/>
      <c r="AG53" s="208">
        <f t="shared" si="41"/>
        <v>2.2212890055701555</v>
      </c>
      <c r="AH53" s="208"/>
      <c r="AI53" s="208">
        <f t="shared" si="42"/>
        <v>2.2879276757372602</v>
      </c>
      <c r="AJ53" s="208"/>
      <c r="AK53" s="208">
        <f t="shared" si="43"/>
        <v>2.3565655060093778</v>
      </c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  <c r="BO53" s="140"/>
      <c r="BP53" s="140"/>
      <c r="BQ53" s="140"/>
      <c r="BR53" s="140"/>
      <c r="BS53" s="140"/>
      <c r="BT53" s="140"/>
      <c r="BU53" s="140"/>
      <c r="BV53" s="140"/>
      <c r="BW53" s="140"/>
      <c r="BX53" s="140"/>
      <c r="BY53" s="140"/>
      <c r="BZ53" s="140"/>
      <c r="CA53" s="140"/>
      <c r="CB53" s="140"/>
    </row>
    <row r="54" spans="1:80" x14ac:dyDescent="0.35">
      <c r="A54" s="168">
        <f t="shared" si="25"/>
        <v>48</v>
      </c>
      <c r="B54" s="169"/>
      <c r="C54" s="173">
        <f t="shared" si="26"/>
        <v>1</v>
      </c>
      <c r="D54" s="171"/>
      <c r="E54" s="170" t="str">
        <f t="shared" si="27"/>
        <v>x</v>
      </c>
      <c r="F54" s="169"/>
      <c r="G54" s="169" t="str">
        <f t="shared" si="28"/>
        <v>x</v>
      </c>
      <c r="H54" s="169"/>
      <c r="I54" s="208">
        <f t="shared" si="44"/>
        <v>1.5579674166007644</v>
      </c>
      <c r="J54" s="208"/>
      <c r="K54" s="208">
        <f t="shared" si="45"/>
        <v>1.6047064390987871</v>
      </c>
      <c r="L54" s="208"/>
      <c r="M54" s="208">
        <f t="shared" si="31"/>
        <v>1.6528476322717507</v>
      </c>
      <c r="N54" s="208"/>
      <c r="O54" s="208">
        <f t="shared" si="32"/>
        <v>1.7024330612399032</v>
      </c>
      <c r="P54" s="208"/>
      <c r="Q54" s="208">
        <f t="shared" si="33"/>
        <v>1.7535060530771003</v>
      </c>
      <c r="R54" s="208"/>
      <c r="S54" s="208">
        <f t="shared" si="34"/>
        <v>1.8061112346694133</v>
      </c>
      <c r="T54" s="208"/>
      <c r="U54" s="208">
        <f t="shared" si="35"/>
        <v>1.8602945717094954</v>
      </c>
      <c r="V54" s="208"/>
      <c r="W54" s="208">
        <f t="shared" si="36"/>
        <v>1.9161034088607805</v>
      </c>
      <c r="X54" s="208"/>
      <c r="Y54" s="208">
        <f t="shared" si="37"/>
        <v>1.973586511126604</v>
      </c>
      <c r="Z54" s="208"/>
      <c r="AA54" s="208">
        <f t="shared" si="38"/>
        <v>2.0327941064604018</v>
      </c>
      <c r="AB54" s="208"/>
      <c r="AC54" s="208">
        <f t="shared" si="39"/>
        <v>2.0937779296542138</v>
      </c>
      <c r="AD54" s="208"/>
      <c r="AE54" s="208">
        <f t="shared" si="40"/>
        <v>2.1565912675438406</v>
      </c>
      <c r="AF54" s="208"/>
      <c r="AG54" s="208">
        <f t="shared" si="41"/>
        <v>2.2212890055701555</v>
      </c>
      <c r="AH54" s="208"/>
      <c r="AI54" s="208">
        <f t="shared" si="42"/>
        <v>2.2879276757372602</v>
      </c>
      <c r="AJ54" s="208"/>
      <c r="AK54" s="208">
        <f t="shared" si="43"/>
        <v>2.3565655060093778</v>
      </c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  <c r="BH54" s="140"/>
      <c r="BI54" s="140"/>
      <c r="BJ54" s="140"/>
      <c r="BK54" s="140"/>
      <c r="BL54" s="140"/>
      <c r="BM54" s="140"/>
      <c r="BN54" s="140"/>
      <c r="BO54" s="140"/>
      <c r="BP54" s="140"/>
      <c r="BQ54" s="140"/>
      <c r="BR54" s="140"/>
      <c r="BS54" s="140"/>
      <c r="BT54" s="140"/>
      <c r="BU54" s="140"/>
      <c r="BV54" s="140"/>
      <c r="BW54" s="140"/>
      <c r="BX54" s="140"/>
      <c r="BY54" s="140"/>
      <c r="BZ54" s="140"/>
      <c r="CA54" s="140"/>
      <c r="CB54" s="140"/>
    </row>
    <row r="55" spans="1:80" x14ac:dyDescent="0.35">
      <c r="A55" s="168">
        <f t="shared" si="25"/>
        <v>49</v>
      </c>
      <c r="B55" s="169"/>
      <c r="C55" s="173">
        <f t="shared" si="26"/>
        <v>1</v>
      </c>
      <c r="D55" s="171"/>
      <c r="E55" s="168" t="str">
        <f t="shared" si="27"/>
        <v>x</v>
      </c>
      <c r="F55" s="169"/>
      <c r="G55" s="169" t="str">
        <f t="shared" si="28"/>
        <v>x</v>
      </c>
      <c r="H55" s="169"/>
      <c r="I55" s="208">
        <f t="shared" si="44"/>
        <v>1.5579674166007644</v>
      </c>
      <c r="J55" s="208"/>
      <c r="K55" s="208">
        <f t="shared" si="45"/>
        <v>1.6047064390987871</v>
      </c>
      <c r="L55" s="208"/>
      <c r="M55" s="208">
        <f t="shared" si="31"/>
        <v>1.6528476322717507</v>
      </c>
      <c r="N55" s="208"/>
      <c r="O55" s="208">
        <f t="shared" si="32"/>
        <v>1.7024330612399032</v>
      </c>
      <c r="P55" s="208"/>
      <c r="Q55" s="208">
        <f t="shared" si="33"/>
        <v>1.7535060530771003</v>
      </c>
      <c r="R55" s="208"/>
      <c r="S55" s="208">
        <f t="shared" si="34"/>
        <v>1.8061112346694133</v>
      </c>
      <c r="T55" s="208"/>
      <c r="U55" s="208">
        <f t="shared" si="35"/>
        <v>1.8602945717094954</v>
      </c>
      <c r="V55" s="208"/>
      <c r="W55" s="208">
        <f t="shared" si="36"/>
        <v>1.9161034088607805</v>
      </c>
      <c r="X55" s="208"/>
      <c r="Y55" s="208">
        <f t="shared" si="37"/>
        <v>1.973586511126604</v>
      </c>
      <c r="Z55" s="208"/>
      <c r="AA55" s="208">
        <f t="shared" si="38"/>
        <v>2.0327941064604018</v>
      </c>
      <c r="AB55" s="208"/>
      <c r="AC55" s="208">
        <f t="shared" si="39"/>
        <v>2.0937779296542138</v>
      </c>
      <c r="AD55" s="208"/>
      <c r="AE55" s="208">
        <f t="shared" si="40"/>
        <v>2.1565912675438406</v>
      </c>
      <c r="AF55" s="208"/>
      <c r="AG55" s="208">
        <f t="shared" si="41"/>
        <v>2.2212890055701555</v>
      </c>
      <c r="AH55" s="208"/>
      <c r="AI55" s="208">
        <f t="shared" si="42"/>
        <v>2.2879276757372602</v>
      </c>
      <c r="AJ55" s="208"/>
      <c r="AK55" s="208">
        <f t="shared" si="43"/>
        <v>2.3565655060093778</v>
      </c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  <c r="BH55" s="140"/>
      <c r="BI55" s="140"/>
      <c r="BJ55" s="140"/>
      <c r="BK55" s="140"/>
      <c r="BL55" s="140"/>
      <c r="BM55" s="140"/>
      <c r="BN55" s="140"/>
      <c r="BO55" s="140"/>
      <c r="BP55" s="140"/>
      <c r="BQ55" s="140"/>
      <c r="BR55" s="140"/>
      <c r="BS55" s="140"/>
      <c r="BT55" s="140"/>
      <c r="BU55" s="140"/>
      <c r="BV55" s="140"/>
      <c r="BW55" s="140"/>
      <c r="BX55" s="140"/>
      <c r="BY55" s="140"/>
      <c r="BZ55" s="140"/>
      <c r="CA55" s="140"/>
      <c r="CB55" s="140"/>
    </row>
    <row r="56" spans="1:80" x14ac:dyDescent="0.35">
      <c r="A56" s="135">
        <f t="shared" si="25"/>
        <v>50</v>
      </c>
      <c r="C56" s="177">
        <f t="shared" si="26"/>
        <v>1</v>
      </c>
      <c r="E56" s="135" t="str">
        <f t="shared" si="27"/>
        <v>x</v>
      </c>
      <c r="G56" s="136" t="str">
        <f t="shared" si="28"/>
        <v>x</v>
      </c>
      <c r="I56" s="210">
        <f t="shared" si="44"/>
        <v>1.5579674166007644</v>
      </c>
      <c r="J56" s="210"/>
      <c r="K56" s="210">
        <f t="shared" si="45"/>
        <v>1.6047064390987871</v>
      </c>
      <c r="L56" s="210"/>
      <c r="M56" s="210">
        <f t="shared" si="31"/>
        <v>1.6528476322717507</v>
      </c>
      <c r="N56" s="210"/>
      <c r="O56" s="210">
        <f t="shared" si="32"/>
        <v>1.7024330612399032</v>
      </c>
      <c r="P56" s="210"/>
      <c r="Q56" s="210">
        <f t="shared" si="33"/>
        <v>1.7535060530771003</v>
      </c>
      <c r="R56" s="210"/>
      <c r="S56" s="210">
        <f t="shared" si="34"/>
        <v>1.8061112346694133</v>
      </c>
      <c r="T56" s="210"/>
      <c r="U56" s="210">
        <f t="shared" si="35"/>
        <v>1.8602945717094954</v>
      </c>
      <c r="V56" s="210"/>
      <c r="W56" s="210">
        <f t="shared" si="36"/>
        <v>1.9161034088607805</v>
      </c>
      <c r="X56" s="210"/>
      <c r="Y56" s="210">
        <f t="shared" si="37"/>
        <v>1.973586511126604</v>
      </c>
      <c r="Z56" s="210"/>
      <c r="AA56" s="210">
        <f t="shared" si="38"/>
        <v>2.0327941064604018</v>
      </c>
      <c r="AB56" s="210"/>
      <c r="AC56" s="210">
        <f t="shared" si="39"/>
        <v>2.0937779296542138</v>
      </c>
      <c r="AD56" s="210"/>
      <c r="AE56" s="210">
        <f t="shared" si="40"/>
        <v>2.1565912675438406</v>
      </c>
      <c r="AF56" s="210"/>
      <c r="AG56" s="210">
        <f t="shared" si="41"/>
        <v>2.2212890055701555</v>
      </c>
      <c r="AH56" s="210"/>
      <c r="AI56" s="210">
        <f t="shared" si="42"/>
        <v>2.2879276757372602</v>
      </c>
      <c r="AJ56" s="210"/>
      <c r="AK56" s="210">
        <f t="shared" si="43"/>
        <v>2.3565655060093778</v>
      </c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  <c r="BH56" s="140"/>
      <c r="BI56" s="140"/>
      <c r="BJ56" s="140"/>
      <c r="BK56" s="140"/>
      <c r="BL56" s="140"/>
      <c r="BM56" s="140"/>
      <c r="BN56" s="140"/>
      <c r="BO56" s="140"/>
      <c r="BP56" s="140"/>
      <c r="BQ56" s="140"/>
      <c r="BR56" s="140"/>
      <c r="BS56" s="140"/>
      <c r="BT56" s="140"/>
      <c r="BU56" s="140"/>
      <c r="BV56" s="140"/>
      <c r="BW56" s="140"/>
      <c r="BX56" s="140"/>
      <c r="BY56" s="140"/>
      <c r="BZ56" s="140"/>
      <c r="CA56" s="140"/>
      <c r="CB56" s="140"/>
    </row>
    <row r="57" spans="1:80" x14ac:dyDescent="0.35">
      <c r="A57" s="135">
        <f t="shared" si="25"/>
        <v>51</v>
      </c>
      <c r="C57" s="177">
        <f t="shared" si="26"/>
        <v>1</v>
      </c>
      <c r="E57" s="135" t="str">
        <f t="shared" si="27"/>
        <v>x</v>
      </c>
      <c r="G57" s="136" t="str">
        <f t="shared" si="28"/>
        <v>x</v>
      </c>
      <c r="I57" s="210">
        <f t="shared" si="44"/>
        <v>1.5579674166007644</v>
      </c>
      <c r="J57" s="210"/>
      <c r="K57" s="210">
        <f t="shared" si="45"/>
        <v>1.6047064390987871</v>
      </c>
      <c r="L57" s="210"/>
      <c r="M57" s="210">
        <f t="shared" si="31"/>
        <v>1.6528476322717507</v>
      </c>
      <c r="N57" s="210"/>
      <c r="O57" s="210">
        <f t="shared" si="32"/>
        <v>1.7024330612399032</v>
      </c>
      <c r="P57" s="210"/>
      <c r="Q57" s="210">
        <f t="shared" si="33"/>
        <v>1.7535060530771003</v>
      </c>
      <c r="R57" s="210"/>
      <c r="S57" s="210">
        <f t="shared" si="34"/>
        <v>1.8061112346694133</v>
      </c>
      <c r="T57" s="210"/>
      <c r="U57" s="210">
        <f t="shared" si="35"/>
        <v>1.8602945717094954</v>
      </c>
      <c r="V57" s="210"/>
      <c r="W57" s="210">
        <f t="shared" si="36"/>
        <v>1.9161034088607805</v>
      </c>
      <c r="X57" s="210"/>
      <c r="Y57" s="210">
        <f t="shared" si="37"/>
        <v>1.973586511126604</v>
      </c>
      <c r="Z57" s="210"/>
      <c r="AA57" s="210">
        <f t="shared" si="38"/>
        <v>2.0327941064604018</v>
      </c>
      <c r="AB57" s="210"/>
      <c r="AC57" s="210">
        <f t="shared" si="39"/>
        <v>2.0937779296542138</v>
      </c>
      <c r="AD57" s="210"/>
      <c r="AE57" s="210">
        <f t="shared" si="40"/>
        <v>2.1565912675438406</v>
      </c>
      <c r="AF57" s="210"/>
      <c r="AG57" s="210">
        <f t="shared" si="41"/>
        <v>2.2212890055701555</v>
      </c>
      <c r="AH57" s="210"/>
      <c r="AI57" s="210">
        <f t="shared" si="42"/>
        <v>2.2879276757372602</v>
      </c>
      <c r="AJ57" s="210"/>
      <c r="AK57" s="210">
        <f t="shared" si="43"/>
        <v>2.3565655060093778</v>
      </c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0"/>
      <c r="BH57" s="140"/>
      <c r="BI57" s="140"/>
      <c r="BJ57" s="140"/>
      <c r="BK57" s="140"/>
      <c r="BL57" s="140"/>
      <c r="BM57" s="140"/>
      <c r="BN57" s="140"/>
      <c r="BO57" s="140"/>
      <c r="BP57" s="140"/>
      <c r="BQ57" s="140"/>
      <c r="BR57" s="140"/>
      <c r="BS57" s="140"/>
      <c r="BT57" s="140"/>
      <c r="BU57" s="140"/>
      <c r="BV57" s="140"/>
      <c r="BW57" s="140"/>
      <c r="BX57" s="140"/>
      <c r="BY57" s="140"/>
      <c r="BZ57" s="140"/>
      <c r="CA57" s="140"/>
      <c r="CB57" s="140"/>
    </row>
    <row r="58" spans="1:80" ht="22.9" customHeight="1" x14ac:dyDescent="0.35">
      <c r="A58" s="135">
        <f t="shared" si="25"/>
        <v>52</v>
      </c>
      <c r="C58" s="177">
        <f t="shared" si="26"/>
        <v>1</v>
      </c>
      <c r="E58" s="135" t="str">
        <f t="shared" si="27"/>
        <v>x</v>
      </c>
      <c r="G58" s="211" t="str">
        <f t="shared" si="28"/>
        <v>x</v>
      </c>
      <c r="I58" s="210">
        <f t="shared" si="44"/>
        <v>1.5579674166007644</v>
      </c>
      <c r="J58" s="210"/>
      <c r="K58" s="210">
        <f t="shared" si="45"/>
        <v>1.6047064390987871</v>
      </c>
      <c r="L58" s="210"/>
      <c r="M58" s="210">
        <f t="shared" si="31"/>
        <v>1.6528476322717507</v>
      </c>
      <c r="N58" s="210"/>
      <c r="O58" s="210">
        <f t="shared" si="32"/>
        <v>1.7024330612399032</v>
      </c>
      <c r="P58" s="210"/>
      <c r="Q58" s="210">
        <f t="shared" si="33"/>
        <v>1.7535060530771003</v>
      </c>
      <c r="R58" s="210"/>
      <c r="S58" s="210">
        <f t="shared" si="34"/>
        <v>1.8061112346694133</v>
      </c>
      <c r="T58" s="210"/>
      <c r="U58" s="210">
        <f t="shared" si="35"/>
        <v>1.8602945717094954</v>
      </c>
      <c r="V58" s="210"/>
      <c r="W58" s="210">
        <f t="shared" si="36"/>
        <v>1.9161034088607805</v>
      </c>
      <c r="X58" s="210"/>
      <c r="Y58" s="210">
        <f t="shared" si="37"/>
        <v>1.973586511126604</v>
      </c>
      <c r="Z58" s="210"/>
      <c r="AA58" s="210">
        <f t="shared" si="38"/>
        <v>2.0327941064604018</v>
      </c>
      <c r="AB58" s="210"/>
      <c r="AC58" s="210">
        <f t="shared" si="39"/>
        <v>2.0937779296542138</v>
      </c>
      <c r="AD58" s="210"/>
      <c r="AE58" s="210">
        <f t="shared" si="40"/>
        <v>2.1565912675438406</v>
      </c>
      <c r="AF58" s="210"/>
      <c r="AG58" s="210">
        <f t="shared" si="41"/>
        <v>2.2212890055701555</v>
      </c>
      <c r="AH58" s="210"/>
      <c r="AI58" s="210">
        <f t="shared" si="42"/>
        <v>2.2879276757372602</v>
      </c>
      <c r="AJ58" s="210"/>
      <c r="AK58" s="210">
        <f t="shared" si="43"/>
        <v>2.3565655060093778</v>
      </c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0"/>
      <c r="BM58" s="140"/>
      <c r="BN58" s="140"/>
      <c r="BO58" s="140"/>
      <c r="BP58" s="140"/>
      <c r="BQ58" s="140"/>
      <c r="BR58" s="140"/>
      <c r="BS58" s="140"/>
      <c r="BT58" s="140"/>
      <c r="BU58" s="140"/>
      <c r="BV58" s="140"/>
      <c r="BW58" s="140"/>
      <c r="BX58" s="140"/>
      <c r="BY58" s="140"/>
      <c r="BZ58" s="140"/>
      <c r="CA58" s="140"/>
      <c r="CB58" s="140"/>
    </row>
    <row r="59" spans="1:80" x14ac:dyDescent="0.35">
      <c r="A59" s="168">
        <f t="shared" si="25"/>
        <v>53</v>
      </c>
      <c r="B59" s="169"/>
      <c r="C59" s="173">
        <f t="shared" si="26"/>
        <v>1</v>
      </c>
      <c r="D59" s="171"/>
      <c r="E59" s="168" t="str">
        <f t="shared" si="27"/>
        <v>x</v>
      </c>
      <c r="F59" s="169"/>
      <c r="G59" s="169" t="str">
        <f t="shared" si="28"/>
        <v>x</v>
      </c>
      <c r="H59" s="169"/>
      <c r="I59" s="208">
        <f t="shared" si="44"/>
        <v>1.5579674166007644</v>
      </c>
      <c r="J59" s="208"/>
      <c r="K59" s="208">
        <f t="shared" si="45"/>
        <v>1.6047064390987871</v>
      </c>
      <c r="L59" s="208"/>
      <c r="M59" s="208">
        <f t="shared" si="31"/>
        <v>1.6528476322717507</v>
      </c>
      <c r="N59" s="208"/>
      <c r="O59" s="208">
        <f t="shared" si="32"/>
        <v>1.7024330612399032</v>
      </c>
      <c r="P59" s="208"/>
      <c r="Q59" s="208">
        <f t="shared" si="33"/>
        <v>1.7535060530771003</v>
      </c>
      <c r="R59" s="208"/>
      <c r="S59" s="208">
        <f t="shared" si="34"/>
        <v>1.8061112346694133</v>
      </c>
      <c r="T59" s="208"/>
      <c r="U59" s="208">
        <f t="shared" si="35"/>
        <v>1.8602945717094954</v>
      </c>
      <c r="V59" s="208"/>
      <c r="W59" s="208">
        <f t="shared" si="36"/>
        <v>1.9161034088607805</v>
      </c>
      <c r="X59" s="208"/>
      <c r="Y59" s="208">
        <f t="shared" si="37"/>
        <v>1.973586511126604</v>
      </c>
      <c r="Z59" s="208"/>
      <c r="AA59" s="208">
        <f t="shared" si="38"/>
        <v>2.0327941064604018</v>
      </c>
      <c r="AB59" s="208"/>
      <c r="AC59" s="208">
        <f t="shared" si="39"/>
        <v>2.0937779296542138</v>
      </c>
      <c r="AD59" s="208"/>
      <c r="AE59" s="208">
        <f t="shared" si="40"/>
        <v>2.1565912675438406</v>
      </c>
      <c r="AF59" s="208"/>
      <c r="AG59" s="208">
        <f t="shared" si="41"/>
        <v>2.2212890055701555</v>
      </c>
      <c r="AH59" s="208"/>
      <c r="AI59" s="208">
        <f t="shared" si="42"/>
        <v>2.2879276757372602</v>
      </c>
      <c r="AJ59" s="208"/>
      <c r="AK59" s="208">
        <f t="shared" si="43"/>
        <v>2.3565655060093778</v>
      </c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</row>
    <row r="60" spans="1:80" x14ac:dyDescent="0.35">
      <c r="A60" s="168">
        <f t="shared" si="25"/>
        <v>54</v>
      </c>
      <c r="B60" s="169"/>
      <c r="C60" s="173">
        <f t="shared" si="26"/>
        <v>1</v>
      </c>
      <c r="D60" s="171"/>
      <c r="E60" s="168" t="str">
        <f t="shared" si="27"/>
        <v>x</v>
      </c>
      <c r="F60" s="169"/>
      <c r="G60" s="187" t="str">
        <f t="shared" si="28"/>
        <v>x</v>
      </c>
      <c r="H60" s="169"/>
      <c r="I60" s="208">
        <f t="shared" si="44"/>
        <v>1.5579674166007644</v>
      </c>
      <c r="J60" s="208"/>
      <c r="K60" s="208">
        <f t="shared" si="45"/>
        <v>1.6047064390987871</v>
      </c>
      <c r="L60" s="208"/>
      <c r="M60" s="208">
        <f t="shared" si="31"/>
        <v>1.6528476322717507</v>
      </c>
      <c r="N60" s="208"/>
      <c r="O60" s="208">
        <f t="shared" si="32"/>
        <v>1.7024330612399032</v>
      </c>
      <c r="P60" s="208"/>
      <c r="Q60" s="208">
        <f t="shared" si="33"/>
        <v>1.7535060530771003</v>
      </c>
      <c r="R60" s="208"/>
      <c r="S60" s="208">
        <f t="shared" si="34"/>
        <v>1.8061112346694133</v>
      </c>
      <c r="T60" s="208"/>
      <c r="U60" s="208">
        <f t="shared" si="35"/>
        <v>1.8602945717094954</v>
      </c>
      <c r="V60" s="208"/>
      <c r="W60" s="208">
        <f t="shared" si="36"/>
        <v>1.9161034088607805</v>
      </c>
      <c r="X60" s="208"/>
      <c r="Y60" s="208">
        <f t="shared" si="37"/>
        <v>1.973586511126604</v>
      </c>
      <c r="Z60" s="208"/>
      <c r="AA60" s="208">
        <f t="shared" si="38"/>
        <v>2.0327941064604018</v>
      </c>
      <c r="AB60" s="208"/>
      <c r="AC60" s="208">
        <f t="shared" si="39"/>
        <v>2.0937779296542138</v>
      </c>
      <c r="AD60" s="208"/>
      <c r="AE60" s="208">
        <f t="shared" si="40"/>
        <v>2.1565912675438406</v>
      </c>
      <c r="AF60" s="208"/>
      <c r="AG60" s="208">
        <f t="shared" si="41"/>
        <v>2.2212890055701555</v>
      </c>
      <c r="AH60" s="208"/>
      <c r="AI60" s="208">
        <f t="shared" si="42"/>
        <v>2.2879276757372602</v>
      </c>
      <c r="AJ60" s="208"/>
      <c r="AK60" s="208">
        <f t="shared" si="43"/>
        <v>2.3565655060093778</v>
      </c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</row>
    <row r="61" spans="1:80" x14ac:dyDescent="0.35">
      <c r="A61" s="168">
        <f t="shared" si="25"/>
        <v>55</v>
      </c>
      <c r="B61" s="169"/>
      <c r="C61" s="173">
        <f t="shared" si="26"/>
        <v>1</v>
      </c>
      <c r="D61" s="171"/>
      <c r="E61" s="168" t="str">
        <f t="shared" si="27"/>
        <v>x</v>
      </c>
      <c r="F61" s="169"/>
      <c r="G61" s="187" t="str">
        <f t="shared" si="28"/>
        <v>x</v>
      </c>
      <c r="H61" s="169"/>
      <c r="I61" s="208">
        <f t="shared" si="44"/>
        <v>1.5579674166007644</v>
      </c>
      <c r="J61" s="208"/>
      <c r="K61" s="208">
        <f t="shared" si="45"/>
        <v>1.6047064390987871</v>
      </c>
      <c r="L61" s="208"/>
      <c r="M61" s="208">
        <f t="shared" si="31"/>
        <v>1.6528476322717507</v>
      </c>
      <c r="N61" s="208"/>
      <c r="O61" s="208">
        <f t="shared" si="32"/>
        <v>1.7024330612399032</v>
      </c>
      <c r="P61" s="208"/>
      <c r="Q61" s="208">
        <f t="shared" si="33"/>
        <v>1.7535060530771003</v>
      </c>
      <c r="R61" s="208"/>
      <c r="S61" s="208">
        <f t="shared" si="34"/>
        <v>1.8061112346694133</v>
      </c>
      <c r="T61" s="208"/>
      <c r="U61" s="208">
        <f t="shared" si="35"/>
        <v>1.8602945717094954</v>
      </c>
      <c r="V61" s="208"/>
      <c r="W61" s="208">
        <f t="shared" si="36"/>
        <v>1.9161034088607805</v>
      </c>
      <c r="X61" s="208"/>
      <c r="Y61" s="208">
        <f t="shared" si="37"/>
        <v>1.973586511126604</v>
      </c>
      <c r="Z61" s="208"/>
      <c r="AA61" s="208">
        <f t="shared" si="38"/>
        <v>2.0327941064604018</v>
      </c>
      <c r="AB61" s="208"/>
      <c r="AC61" s="208">
        <f t="shared" si="39"/>
        <v>2.0937779296542138</v>
      </c>
      <c r="AD61" s="208"/>
      <c r="AE61" s="208">
        <f t="shared" si="40"/>
        <v>2.1565912675438406</v>
      </c>
      <c r="AF61" s="208"/>
      <c r="AG61" s="208">
        <f t="shared" si="41"/>
        <v>2.2212890055701555</v>
      </c>
      <c r="AH61" s="208"/>
      <c r="AI61" s="208">
        <f t="shared" si="42"/>
        <v>2.2879276757372602</v>
      </c>
      <c r="AJ61" s="208"/>
      <c r="AK61" s="208">
        <f t="shared" si="43"/>
        <v>2.3565655060093778</v>
      </c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</row>
    <row r="62" spans="1:80" x14ac:dyDescent="0.35">
      <c r="A62" s="135">
        <f t="shared" si="25"/>
        <v>56</v>
      </c>
      <c r="C62" s="177">
        <f t="shared" si="26"/>
        <v>1</v>
      </c>
      <c r="E62" s="135" t="str">
        <f t="shared" si="27"/>
        <v>x</v>
      </c>
      <c r="G62" s="136" t="str">
        <f t="shared" si="28"/>
        <v>x</v>
      </c>
      <c r="I62" s="210">
        <f t="shared" si="44"/>
        <v>1.5579674166007644</v>
      </c>
      <c r="J62" s="210"/>
      <c r="K62" s="210">
        <f t="shared" si="45"/>
        <v>1.6047064390987871</v>
      </c>
      <c r="L62" s="210"/>
      <c r="M62" s="210">
        <f t="shared" si="31"/>
        <v>1.6528476322717507</v>
      </c>
      <c r="N62" s="210"/>
      <c r="O62" s="210">
        <f t="shared" si="32"/>
        <v>1.7024330612399032</v>
      </c>
      <c r="P62" s="210"/>
      <c r="Q62" s="210">
        <f t="shared" si="33"/>
        <v>1.7535060530771003</v>
      </c>
      <c r="R62" s="210"/>
      <c r="S62" s="210">
        <f t="shared" si="34"/>
        <v>1.8061112346694133</v>
      </c>
      <c r="T62" s="210"/>
      <c r="U62" s="210">
        <f t="shared" si="35"/>
        <v>1.8602945717094954</v>
      </c>
      <c r="V62" s="210"/>
      <c r="W62" s="210">
        <f t="shared" si="36"/>
        <v>1.9161034088607805</v>
      </c>
      <c r="X62" s="210"/>
      <c r="Y62" s="210">
        <f t="shared" si="37"/>
        <v>1.973586511126604</v>
      </c>
      <c r="Z62" s="210"/>
      <c r="AA62" s="210">
        <f t="shared" si="38"/>
        <v>2.0327941064604018</v>
      </c>
      <c r="AB62" s="210"/>
      <c r="AC62" s="210">
        <f t="shared" si="39"/>
        <v>2.0937779296542138</v>
      </c>
      <c r="AD62" s="210"/>
      <c r="AE62" s="210">
        <f t="shared" si="40"/>
        <v>2.1565912675438406</v>
      </c>
      <c r="AF62" s="210"/>
      <c r="AG62" s="210">
        <f t="shared" si="41"/>
        <v>2.2212890055701555</v>
      </c>
      <c r="AH62" s="210"/>
      <c r="AI62" s="210">
        <f t="shared" si="42"/>
        <v>2.2879276757372602</v>
      </c>
      <c r="AJ62" s="210"/>
      <c r="AK62" s="210">
        <f t="shared" si="43"/>
        <v>2.3565655060093778</v>
      </c>
    </row>
    <row r="63" spans="1:80" x14ac:dyDescent="0.35">
      <c r="A63" s="135">
        <f t="shared" si="25"/>
        <v>57</v>
      </c>
      <c r="C63" s="177">
        <f t="shared" si="26"/>
        <v>1</v>
      </c>
      <c r="E63" s="135" t="str">
        <f t="shared" si="27"/>
        <v>x</v>
      </c>
      <c r="G63" s="136" t="str">
        <f t="shared" si="28"/>
        <v>x</v>
      </c>
      <c r="I63" s="210">
        <f t="shared" si="44"/>
        <v>1.5579674166007644</v>
      </c>
      <c r="J63" s="210"/>
      <c r="K63" s="210">
        <f t="shared" si="45"/>
        <v>1.6047064390987871</v>
      </c>
      <c r="L63" s="210"/>
      <c r="M63" s="210">
        <f t="shared" si="31"/>
        <v>1.6528476322717507</v>
      </c>
      <c r="N63" s="210"/>
      <c r="O63" s="210">
        <f t="shared" si="32"/>
        <v>1.7024330612399032</v>
      </c>
      <c r="P63" s="210"/>
      <c r="Q63" s="210">
        <f t="shared" si="33"/>
        <v>1.7535060530771003</v>
      </c>
      <c r="R63" s="210"/>
      <c r="S63" s="210">
        <f t="shared" si="34"/>
        <v>1.8061112346694133</v>
      </c>
      <c r="T63" s="210"/>
      <c r="U63" s="210">
        <f t="shared" si="35"/>
        <v>1.8602945717094954</v>
      </c>
      <c r="V63" s="210"/>
      <c r="W63" s="210">
        <f t="shared" si="36"/>
        <v>1.9161034088607805</v>
      </c>
      <c r="X63" s="210"/>
      <c r="Y63" s="210">
        <f t="shared" si="37"/>
        <v>1.973586511126604</v>
      </c>
      <c r="Z63" s="210"/>
      <c r="AA63" s="210">
        <f t="shared" si="38"/>
        <v>2.0327941064604018</v>
      </c>
      <c r="AB63" s="210"/>
      <c r="AC63" s="210">
        <f t="shared" si="39"/>
        <v>2.0937779296542138</v>
      </c>
      <c r="AD63" s="210"/>
      <c r="AE63" s="210">
        <f t="shared" si="40"/>
        <v>2.1565912675438406</v>
      </c>
      <c r="AF63" s="210"/>
      <c r="AG63" s="210">
        <f t="shared" si="41"/>
        <v>2.2212890055701555</v>
      </c>
      <c r="AH63" s="210"/>
      <c r="AI63" s="210">
        <f t="shared" si="42"/>
        <v>2.2879276757372602</v>
      </c>
      <c r="AJ63" s="210"/>
      <c r="AK63" s="210">
        <f t="shared" si="43"/>
        <v>2.3565655060093778</v>
      </c>
    </row>
    <row r="64" spans="1:80" x14ac:dyDescent="0.35">
      <c r="A64" s="135">
        <f t="shared" si="25"/>
        <v>58</v>
      </c>
      <c r="C64" s="177">
        <f t="shared" si="26"/>
        <v>1</v>
      </c>
      <c r="E64" s="135" t="str">
        <f t="shared" si="27"/>
        <v>x</v>
      </c>
      <c r="G64" s="136" t="str">
        <f t="shared" si="28"/>
        <v>x</v>
      </c>
      <c r="I64" s="210">
        <f t="shared" si="44"/>
        <v>1.5579674166007644</v>
      </c>
      <c r="J64" s="210"/>
      <c r="K64" s="210">
        <f t="shared" si="45"/>
        <v>1.6047064390987871</v>
      </c>
      <c r="L64" s="210"/>
      <c r="M64" s="210">
        <f t="shared" si="31"/>
        <v>1.6528476322717507</v>
      </c>
      <c r="N64" s="210"/>
      <c r="O64" s="210">
        <f t="shared" si="32"/>
        <v>1.7024330612399032</v>
      </c>
      <c r="P64" s="210"/>
      <c r="Q64" s="210">
        <f t="shared" si="33"/>
        <v>1.7535060530771003</v>
      </c>
      <c r="R64" s="210"/>
      <c r="S64" s="210">
        <f t="shared" si="34"/>
        <v>1.8061112346694133</v>
      </c>
      <c r="T64" s="210"/>
      <c r="U64" s="210">
        <f t="shared" si="35"/>
        <v>1.8602945717094954</v>
      </c>
      <c r="V64" s="210"/>
      <c r="W64" s="210">
        <f t="shared" si="36"/>
        <v>1.9161034088607805</v>
      </c>
      <c r="X64" s="210"/>
      <c r="Y64" s="210">
        <f t="shared" si="37"/>
        <v>1.973586511126604</v>
      </c>
      <c r="Z64" s="210"/>
      <c r="AA64" s="210">
        <f t="shared" si="38"/>
        <v>2.0327941064604018</v>
      </c>
      <c r="AB64" s="210"/>
      <c r="AC64" s="210">
        <f t="shared" si="39"/>
        <v>2.0937779296542138</v>
      </c>
      <c r="AD64" s="210"/>
      <c r="AE64" s="210">
        <f t="shared" si="40"/>
        <v>2.1565912675438406</v>
      </c>
      <c r="AF64" s="210"/>
      <c r="AG64" s="210">
        <f t="shared" si="41"/>
        <v>2.2212890055701555</v>
      </c>
      <c r="AH64" s="210"/>
      <c r="AI64" s="210">
        <f t="shared" si="42"/>
        <v>2.2879276757372602</v>
      </c>
      <c r="AJ64" s="210"/>
      <c r="AK64" s="210">
        <f t="shared" si="43"/>
        <v>2.3565655060093778</v>
      </c>
    </row>
    <row r="65" spans="1:41" x14ac:dyDescent="0.35">
      <c r="A65" s="168">
        <f t="shared" si="25"/>
        <v>59</v>
      </c>
      <c r="B65" s="169"/>
      <c r="C65" s="173">
        <f t="shared" si="26"/>
        <v>1</v>
      </c>
      <c r="D65" s="171"/>
      <c r="E65" s="168" t="str">
        <f t="shared" si="27"/>
        <v>x</v>
      </c>
      <c r="F65" s="169"/>
      <c r="G65" s="169" t="str">
        <f t="shared" si="28"/>
        <v>x</v>
      </c>
      <c r="H65" s="169"/>
      <c r="I65" s="208">
        <f t="shared" si="44"/>
        <v>1.5579674166007644</v>
      </c>
      <c r="J65" s="208"/>
      <c r="K65" s="208">
        <f t="shared" si="45"/>
        <v>1.6047064390987871</v>
      </c>
      <c r="L65" s="208"/>
      <c r="M65" s="208">
        <f t="shared" si="31"/>
        <v>1.6528476322717507</v>
      </c>
      <c r="N65" s="208"/>
      <c r="O65" s="208">
        <f t="shared" si="32"/>
        <v>1.7024330612399032</v>
      </c>
      <c r="P65" s="208"/>
      <c r="Q65" s="208">
        <f t="shared" si="33"/>
        <v>1.7535060530771003</v>
      </c>
      <c r="R65" s="208"/>
      <c r="S65" s="208">
        <f t="shared" si="34"/>
        <v>1.8061112346694133</v>
      </c>
      <c r="T65" s="208"/>
      <c r="U65" s="208">
        <f t="shared" si="35"/>
        <v>1.8602945717094954</v>
      </c>
      <c r="V65" s="208"/>
      <c r="W65" s="208">
        <f t="shared" si="36"/>
        <v>1.9161034088607805</v>
      </c>
      <c r="X65" s="208"/>
      <c r="Y65" s="208">
        <f t="shared" si="37"/>
        <v>1.973586511126604</v>
      </c>
      <c r="Z65" s="208"/>
      <c r="AA65" s="208">
        <f t="shared" si="38"/>
        <v>2.0327941064604018</v>
      </c>
      <c r="AB65" s="208"/>
      <c r="AC65" s="208">
        <f t="shared" si="39"/>
        <v>2.0937779296542138</v>
      </c>
      <c r="AD65" s="208"/>
      <c r="AE65" s="208">
        <f t="shared" si="40"/>
        <v>2.1565912675438406</v>
      </c>
      <c r="AF65" s="208"/>
      <c r="AG65" s="208">
        <f t="shared" si="41"/>
        <v>2.2212890055701555</v>
      </c>
      <c r="AH65" s="208"/>
      <c r="AI65" s="208">
        <f t="shared" si="42"/>
        <v>2.2879276757372602</v>
      </c>
      <c r="AJ65" s="208"/>
      <c r="AK65" s="208">
        <f t="shared" si="43"/>
        <v>2.3565655060093778</v>
      </c>
    </row>
    <row r="66" spans="1:41" x14ac:dyDescent="0.35">
      <c r="A66" s="168">
        <f t="shared" si="25"/>
        <v>60</v>
      </c>
      <c r="B66" s="169"/>
      <c r="C66" s="173">
        <f t="shared" si="26"/>
        <v>1</v>
      </c>
      <c r="D66" s="171"/>
      <c r="E66" s="168" t="str">
        <f t="shared" si="27"/>
        <v>x</v>
      </c>
      <c r="F66" s="169"/>
      <c r="G66" s="187" t="str">
        <f t="shared" si="28"/>
        <v>x</v>
      </c>
      <c r="H66" s="169"/>
      <c r="I66" s="208">
        <f t="shared" si="44"/>
        <v>1.5579674166007644</v>
      </c>
      <c r="J66" s="208"/>
      <c r="K66" s="208">
        <f t="shared" si="45"/>
        <v>1.6047064390987871</v>
      </c>
      <c r="L66" s="208"/>
      <c r="M66" s="208">
        <f t="shared" si="31"/>
        <v>1.6528476322717507</v>
      </c>
      <c r="N66" s="208"/>
      <c r="O66" s="208">
        <f t="shared" si="32"/>
        <v>1.7024330612399032</v>
      </c>
      <c r="P66" s="208"/>
      <c r="Q66" s="208">
        <f t="shared" si="33"/>
        <v>1.7535060530771003</v>
      </c>
      <c r="R66" s="208"/>
      <c r="S66" s="208">
        <f t="shared" si="34"/>
        <v>1.8061112346694133</v>
      </c>
      <c r="T66" s="208"/>
      <c r="U66" s="208">
        <f t="shared" si="35"/>
        <v>1.8602945717094954</v>
      </c>
      <c r="V66" s="208"/>
      <c r="W66" s="208">
        <f t="shared" si="36"/>
        <v>1.9161034088607805</v>
      </c>
      <c r="X66" s="208"/>
      <c r="Y66" s="208">
        <f t="shared" si="37"/>
        <v>1.973586511126604</v>
      </c>
      <c r="Z66" s="208"/>
      <c r="AA66" s="208">
        <f t="shared" si="38"/>
        <v>2.0327941064604018</v>
      </c>
      <c r="AB66" s="208"/>
      <c r="AC66" s="208">
        <f t="shared" si="39"/>
        <v>2.0937779296542138</v>
      </c>
      <c r="AD66" s="208"/>
      <c r="AE66" s="208">
        <f t="shared" si="40"/>
        <v>2.1565912675438406</v>
      </c>
      <c r="AF66" s="208"/>
      <c r="AG66" s="208">
        <f t="shared" si="41"/>
        <v>2.2212890055701555</v>
      </c>
      <c r="AH66" s="208"/>
      <c r="AI66" s="208">
        <f t="shared" si="42"/>
        <v>2.2879276757372602</v>
      </c>
      <c r="AJ66" s="208"/>
      <c r="AK66" s="208">
        <f t="shared" si="43"/>
        <v>2.3565655060093778</v>
      </c>
    </row>
    <row r="67" spans="1:41" x14ac:dyDescent="0.35">
      <c r="A67" s="168">
        <f t="shared" si="25"/>
        <v>61</v>
      </c>
      <c r="B67" s="169"/>
      <c r="C67" s="173">
        <f>+C34</f>
        <v>1</v>
      </c>
      <c r="D67" s="171"/>
      <c r="E67" s="168" t="str">
        <f>+E34</f>
        <v>x</v>
      </c>
      <c r="F67" s="169"/>
      <c r="G67" s="169" t="str">
        <f>+G34</f>
        <v>x</v>
      </c>
      <c r="H67" s="169"/>
      <c r="I67" s="208">
        <f t="shared" si="44"/>
        <v>1.5579674166007644</v>
      </c>
      <c r="J67" s="208"/>
      <c r="K67" s="208">
        <f t="shared" si="45"/>
        <v>1.6047064390987871</v>
      </c>
      <c r="L67" s="208"/>
      <c r="M67" s="208">
        <f t="shared" si="31"/>
        <v>1.6528476322717507</v>
      </c>
      <c r="N67" s="208"/>
      <c r="O67" s="208">
        <f t="shared" si="32"/>
        <v>1.7024330612399032</v>
      </c>
      <c r="P67" s="208"/>
      <c r="Q67" s="208">
        <f t="shared" si="33"/>
        <v>1.7535060530771003</v>
      </c>
      <c r="R67" s="208"/>
      <c r="S67" s="208">
        <f t="shared" si="34"/>
        <v>1.8061112346694133</v>
      </c>
      <c r="T67" s="208"/>
      <c r="U67" s="208">
        <f t="shared" si="35"/>
        <v>1.8602945717094954</v>
      </c>
      <c r="V67" s="208"/>
      <c r="W67" s="208">
        <f t="shared" si="36"/>
        <v>1.9161034088607805</v>
      </c>
      <c r="X67" s="208"/>
      <c r="Y67" s="208">
        <f t="shared" si="37"/>
        <v>1.973586511126604</v>
      </c>
      <c r="Z67" s="208"/>
      <c r="AA67" s="208">
        <f t="shared" si="38"/>
        <v>2.0327941064604018</v>
      </c>
      <c r="AB67" s="208"/>
      <c r="AC67" s="208">
        <f t="shared" si="39"/>
        <v>2.0937779296542138</v>
      </c>
      <c r="AD67" s="208"/>
      <c r="AE67" s="208">
        <f t="shared" si="40"/>
        <v>2.1565912675438406</v>
      </c>
      <c r="AF67" s="208"/>
      <c r="AG67" s="208">
        <f t="shared" si="41"/>
        <v>2.2212890055701555</v>
      </c>
      <c r="AH67" s="208"/>
      <c r="AI67" s="208">
        <f t="shared" si="42"/>
        <v>2.2879276757372602</v>
      </c>
      <c r="AJ67" s="208"/>
      <c r="AK67" s="208">
        <f t="shared" si="43"/>
        <v>2.3565655060093778</v>
      </c>
    </row>
    <row r="68" spans="1:41" x14ac:dyDescent="0.35">
      <c r="A68" s="135">
        <f t="shared" si="25"/>
        <v>62</v>
      </c>
      <c r="C68" s="177">
        <f>+C35</f>
        <v>1</v>
      </c>
      <c r="E68" s="135" t="str">
        <f>+E35</f>
        <v>x</v>
      </c>
      <c r="G68" s="136" t="str">
        <f>+G35</f>
        <v>x</v>
      </c>
      <c r="I68" s="210">
        <f>FV($U$6,AY$9,,-$S35,0)</f>
        <v>1.5579674166007644</v>
      </c>
      <c r="J68" s="210"/>
      <c r="K68" s="210">
        <f t="shared" si="45"/>
        <v>1.6047064390987871</v>
      </c>
      <c r="L68" s="210"/>
      <c r="M68" s="210">
        <f t="shared" si="31"/>
        <v>1.6528476322717507</v>
      </c>
      <c r="N68" s="210"/>
      <c r="O68" s="210">
        <f t="shared" si="32"/>
        <v>1.7024330612399032</v>
      </c>
      <c r="P68" s="210"/>
      <c r="Q68" s="210">
        <f t="shared" si="33"/>
        <v>1.7535060530771003</v>
      </c>
      <c r="R68" s="210"/>
      <c r="S68" s="210">
        <f t="shared" si="34"/>
        <v>1.8061112346694133</v>
      </c>
      <c r="T68" s="210"/>
      <c r="U68" s="210">
        <f t="shared" si="35"/>
        <v>1.8602945717094954</v>
      </c>
      <c r="V68" s="210"/>
      <c r="W68" s="210">
        <f t="shared" si="36"/>
        <v>1.9161034088607805</v>
      </c>
      <c r="X68" s="210"/>
      <c r="Y68" s="210">
        <f t="shared" si="37"/>
        <v>1.973586511126604</v>
      </c>
      <c r="Z68" s="210"/>
      <c r="AA68" s="210">
        <f t="shared" si="38"/>
        <v>2.0327941064604018</v>
      </c>
      <c r="AB68" s="210"/>
      <c r="AC68" s="210">
        <f t="shared" si="39"/>
        <v>2.0937779296542138</v>
      </c>
      <c r="AD68" s="210"/>
      <c r="AE68" s="210">
        <f t="shared" si="40"/>
        <v>2.1565912675438406</v>
      </c>
      <c r="AF68" s="210"/>
      <c r="AG68" s="210">
        <f t="shared" si="41"/>
        <v>2.2212890055701555</v>
      </c>
      <c r="AH68" s="210"/>
      <c r="AI68" s="210">
        <f t="shared" si="42"/>
        <v>2.2879276757372602</v>
      </c>
      <c r="AJ68" s="210"/>
      <c r="AK68" s="210">
        <f>FV($U$6,AI$42,,-$S35,0)</f>
        <v>2.3565655060093778</v>
      </c>
    </row>
    <row r="69" spans="1:41" x14ac:dyDescent="0.35"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/>
      <c r="AG69" s="210"/>
      <c r="AH69" s="210"/>
      <c r="AI69" s="210"/>
      <c r="AJ69" s="210"/>
      <c r="AK69" s="210"/>
    </row>
    <row r="70" spans="1:41" x14ac:dyDescent="0.35">
      <c r="C70" s="135"/>
      <c r="I70" s="215"/>
      <c r="J70" s="210"/>
      <c r="K70" s="215"/>
      <c r="L70" s="210"/>
      <c r="M70" s="215"/>
      <c r="N70" s="210"/>
      <c r="O70" s="215"/>
      <c r="P70" s="210"/>
      <c r="Q70" s="215"/>
      <c r="R70" s="210"/>
      <c r="S70" s="215"/>
      <c r="T70" s="210"/>
      <c r="U70" s="215"/>
      <c r="V70" s="210"/>
      <c r="W70" s="215"/>
      <c r="X70" s="210"/>
      <c r="Y70" s="215"/>
      <c r="Z70" s="210"/>
      <c r="AA70" s="215"/>
      <c r="AB70" s="210"/>
      <c r="AC70" s="215"/>
      <c r="AD70" s="210"/>
      <c r="AE70" s="215"/>
      <c r="AF70" s="210"/>
      <c r="AG70" s="215"/>
      <c r="AH70" s="210"/>
      <c r="AI70" s="215"/>
      <c r="AJ70" s="210"/>
      <c r="AK70" s="215"/>
    </row>
    <row r="71" spans="1:41" ht="23.25" customHeight="1" thickBot="1" x14ac:dyDescent="0.4">
      <c r="C71" s="135"/>
      <c r="G71" s="141" t="str">
        <f>+G38</f>
        <v>Anticipated Expenditures, By Year</v>
      </c>
      <c r="I71" s="216">
        <f>SUM(I47:I69)</f>
        <v>34.27528316521682</v>
      </c>
      <c r="J71" s="217"/>
      <c r="K71" s="216">
        <f>SUM(K47:K69)</f>
        <v>35.303541660173316</v>
      </c>
      <c r="L71" s="217"/>
      <c r="M71" s="216">
        <f>SUM(M47:M69)</f>
        <v>36.362647909978513</v>
      </c>
      <c r="N71" s="217"/>
      <c r="O71" s="216">
        <f>SUM(O47:O69)</f>
        <v>37.453527347277877</v>
      </c>
      <c r="P71" s="217"/>
      <c r="Q71" s="216">
        <f>SUM(Q47:Q69)</f>
        <v>38.577133167696211</v>
      </c>
      <c r="R71" s="217"/>
      <c r="S71" s="216">
        <f>SUM(S47:S69)</f>
        <v>39.734447162727093</v>
      </c>
      <c r="T71" s="217"/>
      <c r="U71" s="216">
        <f>SUM(U47:U69)</f>
        <v>40.926480577608899</v>
      </c>
      <c r="V71" s="217"/>
      <c r="W71" s="216">
        <f>SUM(W47:W69)</f>
        <v>42.154274994937168</v>
      </c>
      <c r="X71" s="217"/>
      <c r="Y71" s="216">
        <f>SUM(Y47:Y69)</f>
        <v>43.418903244785298</v>
      </c>
      <c r="Z71" s="217"/>
      <c r="AA71" s="216">
        <f>SUM(AA47:AA69)</f>
        <v>44.721470342128825</v>
      </c>
      <c r="AB71" s="217"/>
      <c r="AC71" s="216">
        <f>SUM(AC47:AC69)</f>
        <v>46.063114452392711</v>
      </c>
      <c r="AD71" s="217"/>
      <c r="AE71" s="216">
        <f>SUM(AE47:AE69)</f>
        <v>47.445007885964486</v>
      </c>
      <c r="AF71" s="217"/>
      <c r="AG71" s="216">
        <f>SUM(AG47:AG69)</f>
        <v>48.868358122543434</v>
      </c>
      <c r="AH71" s="217"/>
      <c r="AI71" s="216">
        <f>SUM(AI47:AI69)</f>
        <v>50.334408866219711</v>
      </c>
      <c r="AJ71" s="217"/>
      <c r="AK71" s="216">
        <f>SUM(AK47:AK69)</f>
        <v>51.844441132206285</v>
      </c>
      <c r="AM71" s="178"/>
      <c r="AO71" s="178"/>
    </row>
    <row r="72" spans="1:41" ht="24" thickTop="1" x14ac:dyDescent="0.35">
      <c r="C72" s="135"/>
      <c r="I72" s="178"/>
      <c r="J72" s="178"/>
      <c r="K72" s="178"/>
      <c r="L72" s="178"/>
      <c r="M72" s="178"/>
      <c r="N72" s="178"/>
      <c r="O72" s="178"/>
      <c r="P72" s="178"/>
      <c r="Q72" s="178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</row>
    <row r="77" spans="1:41" ht="9.9499999999999993" customHeight="1" x14ac:dyDescent="0.35"/>
  </sheetData>
  <mergeCells count="8">
    <mergeCell ref="A42:A43"/>
    <mergeCell ref="U9:U10"/>
    <mergeCell ref="A9:A10"/>
    <mergeCell ref="I9:I10"/>
    <mergeCell ref="K9:M9"/>
    <mergeCell ref="O9:O10"/>
    <mergeCell ref="Q9:Q10"/>
    <mergeCell ref="S9:S10"/>
  </mergeCells>
  <printOptions horizontalCentered="1"/>
  <pageMargins left="0.5" right="0.5" top="0.5" bottom="0.5" header="0.3" footer="0.3"/>
  <pageSetup paperSize="3" scale="33" orientation="landscape" copies="3" r:id="rId1"/>
  <ignoredErrors>
    <ignoredError sqref="W10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C0C9-E4B2-41FF-A0A5-A5917BBB4D9A}">
  <dimension ref="A2:CE77"/>
  <sheetViews>
    <sheetView zoomScale="32" zoomScaleNormal="32" workbookViewId="0">
      <selection activeCell="O5" sqref="O5:O6"/>
    </sheetView>
  </sheetViews>
  <sheetFormatPr defaultRowHeight="23.25" x14ac:dyDescent="0.35"/>
  <cols>
    <col min="1" max="1" width="8" style="135" customWidth="1"/>
    <col min="2" max="2" width="1.7109375" style="136" customWidth="1"/>
    <col min="3" max="3" width="17.85546875" style="178" bestFit="1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90" style="136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28515625" style="135" customWidth="1"/>
    <col min="14" max="14" width="1.7109375" style="136" customWidth="1"/>
    <col min="15" max="15" width="24.5703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20.28515625" style="136" customWidth="1"/>
    <col min="22" max="22" width="1.7109375" style="136" customWidth="1"/>
    <col min="23" max="23" width="19.28515625" style="136" customWidth="1"/>
    <col min="24" max="24" width="1.7109375" style="136" customWidth="1"/>
    <col min="25" max="25" width="19.28515625" style="136" customWidth="1"/>
    <col min="26" max="26" width="1.7109375" style="136" customWidth="1"/>
    <col min="27" max="27" width="19.28515625" style="136" customWidth="1"/>
    <col min="28" max="28" width="1.7109375" style="136" customWidth="1"/>
    <col min="29" max="29" width="19.28515625" style="136" customWidth="1"/>
    <col min="30" max="30" width="1.7109375" style="136" customWidth="1"/>
    <col min="31" max="31" width="19.28515625" style="136" customWidth="1"/>
    <col min="32" max="32" width="1.7109375" style="136" customWidth="1"/>
    <col min="33" max="33" width="19.28515625" style="136" customWidth="1"/>
    <col min="34" max="34" width="1.7109375" style="136" customWidth="1"/>
    <col min="35" max="35" width="19.28515625" style="136" customWidth="1"/>
    <col min="36" max="36" width="1.7109375" style="136" customWidth="1"/>
    <col min="37" max="37" width="19.28515625" style="136" customWidth="1"/>
    <col min="38" max="38" width="1.7109375" style="136" customWidth="1"/>
    <col min="39" max="39" width="19.28515625" style="136" customWidth="1"/>
    <col min="40" max="40" width="1.7109375" style="136" customWidth="1"/>
    <col min="41" max="41" width="19.28515625" style="136" customWidth="1"/>
    <col min="42" max="42" width="1.7109375" style="136" customWidth="1"/>
    <col min="43" max="43" width="19.28515625" style="136" customWidth="1"/>
    <col min="44" max="44" width="1.7109375" style="136" customWidth="1"/>
    <col min="45" max="45" width="19.28515625" style="136" customWidth="1"/>
    <col min="46" max="46" width="1.7109375" style="136" customWidth="1"/>
    <col min="47" max="47" width="19.28515625" style="136" customWidth="1"/>
    <col min="48" max="48" width="1.7109375" style="136" customWidth="1"/>
    <col min="49" max="49" width="19.28515625" style="136" customWidth="1"/>
    <col min="50" max="50" width="1.7109375" style="136" customWidth="1"/>
    <col min="51" max="51" width="19.28515625" style="136" customWidth="1"/>
    <col min="52" max="52" width="1.7109375" style="136" customWidth="1"/>
    <col min="53" max="53" width="13.42578125" style="136" bestFit="1" customWidth="1"/>
    <col min="54" max="54" width="1.7109375" style="136" customWidth="1"/>
    <col min="55" max="55" width="13.42578125" style="136" bestFit="1" customWidth="1"/>
    <col min="56" max="56" width="1.7109375" style="136" customWidth="1"/>
    <col min="57" max="57" width="13.42578125" style="136" bestFit="1" customWidth="1"/>
    <col min="58" max="58" width="1.7109375" style="136" customWidth="1"/>
    <col min="59" max="59" width="13.42578125" style="136" bestFit="1" customWidth="1"/>
    <col min="60" max="60" width="1.7109375" style="136" customWidth="1"/>
    <col min="61" max="61" width="13.42578125" style="136" customWidth="1"/>
    <col min="62" max="62" width="1.7109375" style="136" customWidth="1"/>
    <col min="63" max="63" width="9.140625" style="136"/>
    <col min="64" max="64" width="1.7109375" style="136" customWidth="1"/>
    <col min="65" max="65" width="9.140625" style="136"/>
    <col min="66" max="66" width="1.7109375" style="136" customWidth="1"/>
    <col min="67" max="67" width="9.140625" style="136"/>
    <col min="68" max="68" width="1.7109375" style="136" customWidth="1"/>
    <col min="69" max="69" width="14.5703125" style="136" bestFit="1" customWidth="1"/>
    <col min="70" max="70" width="1.7109375" style="136" customWidth="1"/>
    <col min="71" max="71" width="9.140625" style="136"/>
    <col min="72" max="72" width="1.7109375" style="136" customWidth="1"/>
    <col min="73" max="73" width="9.140625" style="136"/>
    <col min="74" max="74" width="1.7109375" style="136" customWidth="1"/>
    <col min="75" max="75" width="9.140625" style="136"/>
    <col min="76" max="76" width="1.7109375" style="136" customWidth="1"/>
    <col min="77" max="77" width="9.140625" style="136"/>
    <col min="78" max="78" width="1.7109375" style="136" customWidth="1"/>
    <col min="79" max="16384" width="9.140625" style="136"/>
  </cols>
  <sheetData>
    <row r="2" spans="1:83" x14ac:dyDescent="0.35">
      <c r="C2" s="137"/>
    </row>
    <row r="3" spans="1:83" x14ac:dyDescent="0.35">
      <c r="C3" s="137"/>
      <c r="G3" s="142" t="s">
        <v>31</v>
      </c>
    </row>
    <row r="4" spans="1:83" ht="116.45" customHeight="1" x14ac:dyDescent="0.35">
      <c r="C4" s="137"/>
    </row>
    <row r="5" spans="1:83" x14ac:dyDescent="0.35">
      <c r="C5" s="137"/>
      <c r="G5" s="144" t="s">
        <v>8</v>
      </c>
      <c r="O5" s="239"/>
      <c r="U5" s="145" t="s">
        <v>10</v>
      </c>
    </row>
    <row r="6" spans="1:83" x14ac:dyDescent="0.35">
      <c r="C6" s="137"/>
      <c r="G6" s="142" t="s">
        <v>9</v>
      </c>
      <c r="O6" s="239"/>
      <c r="T6" s="146" t="s">
        <v>11</v>
      </c>
      <c r="U6" s="147">
        <f>+'Roofs 1'!V3</f>
        <v>0.03</v>
      </c>
      <c r="V6" s="148" t="s">
        <v>13</v>
      </c>
    </row>
    <row r="7" spans="1:83" x14ac:dyDescent="0.35">
      <c r="C7" s="149"/>
      <c r="E7" s="150"/>
      <c r="F7" s="151"/>
      <c r="G7" s="152" t="str">
        <f>+'Roofs 1'!H5</f>
        <v>Association</v>
      </c>
      <c r="H7" s="151"/>
      <c r="I7" s="150"/>
      <c r="T7" s="146" t="s">
        <v>12</v>
      </c>
      <c r="U7" s="141" t="s">
        <v>17</v>
      </c>
    </row>
    <row r="8" spans="1:83" x14ac:dyDescent="0.35">
      <c r="C8" s="137"/>
    </row>
    <row r="9" spans="1:83" s="141" customFormat="1" ht="28.5" customHeight="1" x14ac:dyDescent="0.35">
      <c r="A9" s="283" t="s">
        <v>0</v>
      </c>
      <c r="C9" s="153" t="s">
        <v>32</v>
      </c>
      <c r="D9" s="138"/>
      <c r="E9" s="142"/>
      <c r="I9" s="281" t="s">
        <v>22</v>
      </c>
      <c r="K9" s="285" t="s">
        <v>5</v>
      </c>
      <c r="L9" s="285"/>
      <c r="M9" s="285"/>
      <c r="O9" s="281" t="s">
        <v>21</v>
      </c>
      <c r="Q9" s="286" t="str">
        <f>+'Roofs 1'!R6</f>
        <v>2024     Unit Cost</v>
      </c>
      <c r="S9" s="288" t="str">
        <f>+'Roofs 1'!T6</f>
        <v xml:space="preserve">2024 Cost of Replacement </v>
      </c>
      <c r="U9" s="281" t="s">
        <v>6</v>
      </c>
      <c r="V9" s="154"/>
      <c r="W9" s="142">
        <v>1</v>
      </c>
      <c r="X9" s="142"/>
      <c r="Y9" s="142">
        <v>2</v>
      </c>
      <c r="Z9" s="142"/>
      <c r="AA9" s="142">
        <v>3</v>
      </c>
      <c r="AB9" s="142"/>
      <c r="AC9" s="142">
        <v>4</v>
      </c>
      <c r="AD9" s="142"/>
      <c r="AE9" s="142">
        <v>5</v>
      </c>
      <c r="AF9" s="142"/>
      <c r="AG9" s="142">
        <v>6</v>
      </c>
      <c r="AH9" s="142"/>
      <c r="AI9" s="142">
        <v>7</v>
      </c>
      <c r="AJ9" s="142"/>
      <c r="AK9" s="142">
        <v>8</v>
      </c>
      <c r="AL9" s="142"/>
      <c r="AM9" s="142">
        <v>9</v>
      </c>
      <c r="AN9" s="142"/>
      <c r="AO9" s="142">
        <v>10</v>
      </c>
      <c r="AP9" s="142"/>
      <c r="AQ9" s="142">
        <v>11</v>
      </c>
      <c r="AR9" s="142"/>
      <c r="AS9" s="142">
        <v>12</v>
      </c>
      <c r="AT9" s="142"/>
      <c r="AU9" s="142">
        <v>13</v>
      </c>
      <c r="AV9" s="142"/>
      <c r="AW9" s="142">
        <v>14</v>
      </c>
      <c r="AX9" s="142"/>
      <c r="AY9" s="142">
        <v>15</v>
      </c>
      <c r="AZ9" s="142"/>
    </row>
    <row r="10" spans="1:83" s="155" customFormat="1" ht="27.75" customHeight="1" x14ac:dyDescent="0.25">
      <c r="A10" s="284"/>
      <c r="C10" s="156" t="s">
        <v>30</v>
      </c>
      <c r="D10" s="157"/>
      <c r="E10" s="158" t="s">
        <v>1</v>
      </c>
      <c r="G10" s="158" t="s">
        <v>2</v>
      </c>
      <c r="I10" s="282"/>
      <c r="K10" s="158" t="s">
        <v>3</v>
      </c>
      <c r="M10" s="231" t="s">
        <v>4</v>
      </c>
      <c r="O10" s="282"/>
      <c r="Q10" s="287"/>
      <c r="S10" s="289"/>
      <c r="U10" s="282"/>
      <c r="V10" s="154"/>
      <c r="W10" s="218">
        <f>+'Roofs 1'!X7</f>
        <v>2024</v>
      </c>
      <c r="X10" s="158"/>
      <c r="Y10" s="158">
        <f t="shared" ref="Y10:AY10" si="0">W10+1</f>
        <v>2025</v>
      </c>
      <c r="Z10" s="158">
        <f t="shared" si="0"/>
        <v>1</v>
      </c>
      <c r="AA10" s="158">
        <f t="shared" si="0"/>
        <v>2026</v>
      </c>
      <c r="AB10" s="158">
        <f t="shared" si="0"/>
        <v>2</v>
      </c>
      <c r="AC10" s="158">
        <f t="shared" si="0"/>
        <v>2027</v>
      </c>
      <c r="AD10" s="158">
        <f t="shared" si="0"/>
        <v>3</v>
      </c>
      <c r="AE10" s="158">
        <f t="shared" si="0"/>
        <v>2028</v>
      </c>
      <c r="AF10" s="158">
        <f t="shared" si="0"/>
        <v>4</v>
      </c>
      <c r="AG10" s="158">
        <f t="shared" si="0"/>
        <v>2029</v>
      </c>
      <c r="AH10" s="158">
        <f t="shared" si="0"/>
        <v>5</v>
      </c>
      <c r="AI10" s="158">
        <f t="shared" si="0"/>
        <v>2030</v>
      </c>
      <c r="AJ10" s="158">
        <f t="shared" si="0"/>
        <v>6</v>
      </c>
      <c r="AK10" s="158">
        <f t="shared" si="0"/>
        <v>2031</v>
      </c>
      <c r="AL10" s="158">
        <f t="shared" si="0"/>
        <v>7</v>
      </c>
      <c r="AM10" s="158">
        <f t="shared" si="0"/>
        <v>2032</v>
      </c>
      <c r="AN10" s="158">
        <f t="shared" si="0"/>
        <v>8</v>
      </c>
      <c r="AO10" s="158">
        <f t="shared" si="0"/>
        <v>2033</v>
      </c>
      <c r="AP10" s="158">
        <f t="shared" si="0"/>
        <v>9</v>
      </c>
      <c r="AQ10" s="158">
        <f t="shared" si="0"/>
        <v>2034</v>
      </c>
      <c r="AR10" s="158">
        <f t="shared" si="0"/>
        <v>10</v>
      </c>
      <c r="AS10" s="158">
        <f t="shared" si="0"/>
        <v>2035</v>
      </c>
      <c r="AT10" s="158">
        <f t="shared" si="0"/>
        <v>11</v>
      </c>
      <c r="AU10" s="158">
        <f t="shared" si="0"/>
        <v>2036</v>
      </c>
      <c r="AV10" s="158">
        <f t="shared" si="0"/>
        <v>12</v>
      </c>
      <c r="AW10" s="158">
        <f t="shared" si="0"/>
        <v>2037</v>
      </c>
      <c r="AX10" s="158">
        <f t="shared" si="0"/>
        <v>13</v>
      </c>
      <c r="AY10" s="158">
        <f t="shared" si="0"/>
        <v>2038</v>
      </c>
    </row>
    <row r="11" spans="1:83" s="155" customFormat="1" ht="9.4" customHeight="1" x14ac:dyDescent="0.25">
      <c r="A11" s="154"/>
      <c r="C11" s="161"/>
      <c r="D11" s="157"/>
      <c r="E11" s="154"/>
      <c r="G11" s="154"/>
      <c r="I11" s="154"/>
      <c r="K11" s="154"/>
      <c r="M11" s="154"/>
      <c r="Q11" s="162"/>
      <c r="S11" s="163"/>
      <c r="U11" s="154"/>
      <c r="V11" s="154"/>
    </row>
    <row r="12" spans="1:83" x14ac:dyDescent="0.35">
      <c r="C12" s="137"/>
      <c r="G12" s="164" t="s">
        <v>46</v>
      </c>
      <c r="O12" s="136"/>
      <c r="Q12" s="139"/>
      <c r="S12" s="140"/>
      <c r="T12" s="136"/>
      <c r="U12" s="141"/>
      <c r="V12" s="141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</row>
    <row r="13" spans="1:83" ht="9.4" customHeight="1" x14ac:dyDescent="0.35">
      <c r="C13" s="137"/>
      <c r="G13" s="144"/>
      <c r="O13" s="136"/>
      <c r="Q13" s="165"/>
      <c r="R13" s="135"/>
      <c r="S13" s="166"/>
      <c r="T13" s="135"/>
      <c r="U13" s="142"/>
      <c r="V13" s="141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167"/>
      <c r="CC13" s="167"/>
      <c r="CD13" s="167"/>
      <c r="CE13" s="167"/>
    </row>
    <row r="14" spans="1:83" ht="23.25" customHeight="1" x14ac:dyDescent="0.35">
      <c r="A14" s="220">
        <f>'Roofs 1'!B50+1</f>
        <v>41</v>
      </c>
      <c r="B14" s="169"/>
      <c r="C14" s="174">
        <v>1</v>
      </c>
      <c r="D14" s="171"/>
      <c r="E14" s="168" t="s">
        <v>45</v>
      </c>
      <c r="F14" s="169"/>
      <c r="G14" s="169" t="s">
        <v>45</v>
      </c>
      <c r="H14" s="169"/>
      <c r="I14" s="168" t="s">
        <v>45</v>
      </c>
      <c r="J14" s="169"/>
      <c r="K14" s="168" t="s">
        <v>45</v>
      </c>
      <c r="L14" s="169"/>
      <c r="M14" s="168">
        <v>1</v>
      </c>
      <c r="N14" s="237">
        <f>'Roofs 1'!P4</f>
        <v>2023</v>
      </c>
      <c r="O14" s="168">
        <v>1</v>
      </c>
      <c r="P14" s="169"/>
      <c r="Q14" s="172">
        <v>1</v>
      </c>
      <c r="R14" s="173"/>
      <c r="S14" s="174">
        <f>C14*Q14</f>
        <v>1</v>
      </c>
      <c r="T14" s="174"/>
      <c r="U14" s="175">
        <f>SUM(W14:AY14)+SUM(I47:AK47)</f>
        <v>47.575415706322005</v>
      </c>
      <c r="V14" s="175"/>
      <c r="W14" s="174">
        <f t="shared" ref="W14:W19" si="1">S14</f>
        <v>1</v>
      </c>
      <c r="X14" s="174"/>
      <c r="Y14" s="174">
        <f t="shared" ref="Y14:Y19" si="2">FV($U$6,W$9,,-$S14,0)</f>
        <v>1.03</v>
      </c>
      <c r="Z14" s="174"/>
      <c r="AA14" s="174">
        <f t="shared" ref="AA14:AA35" si="3">FV($U$6,Y$9,,-$S14,0)</f>
        <v>1.0609</v>
      </c>
      <c r="AB14" s="174"/>
      <c r="AC14" s="174">
        <f t="shared" ref="AC14:AC35" si="4">FV($U$6,AA$9,,-$S14,0)</f>
        <v>1.092727</v>
      </c>
      <c r="AD14" s="174"/>
      <c r="AE14" s="174">
        <f t="shared" ref="AE14:AE35" si="5">FV($U$6,AC$9,,-$S14,0)</f>
        <v>1.1255088099999999</v>
      </c>
      <c r="AF14" s="174"/>
      <c r="AG14" s="174">
        <f t="shared" ref="AG14:AG35" si="6">FV($U$6,AE$9,,-$S14,0)</f>
        <v>1.1592740742999998</v>
      </c>
      <c r="AH14" s="174"/>
      <c r="AI14" s="174">
        <f t="shared" ref="AI14:AI35" si="7">FV($U$6,AG$9,,-$S14,0)</f>
        <v>1.1940522965289999</v>
      </c>
      <c r="AJ14" s="174"/>
      <c r="AK14" s="174">
        <f t="shared" ref="AK14:AK35" si="8">FV($U$6,AI$9,,-$S14,0)</f>
        <v>1.22987386542487</v>
      </c>
      <c r="AL14" s="174"/>
      <c r="AM14" s="174">
        <f t="shared" ref="AM14:AM35" si="9">FV($U$6,AK$9,,-$S14,0)</f>
        <v>1.2667700813876159</v>
      </c>
      <c r="AN14" s="174"/>
      <c r="AO14" s="174">
        <f t="shared" ref="AO14:AO35" si="10">FV($U$6,AM$9,,-$S14,0)</f>
        <v>1.3047731838292445</v>
      </c>
      <c r="AP14" s="174"/>
      <c r="AQ14" s="174">
        <f t="shared" ref="AQ14:AQ35" si="11">FV($U$6,AO$9,,-$S14,0)</f>
        <v>1.3439163793441218</v>
      </c>
      <c r="AR14" s="174"/>
      <c r="AS14" s="174">
        <f t="shared" ref="AS14:AS35" si="12">FV($U$6,AQ$9,,-$S14,0)</f>
        <v>1.3842338707244455</v>
      </c>
      <c r="AT14" s="174"/>
      <c r="AU14" s="174">
        <f t="shared" ref="AU14:AU35" si="13">FV($U$6,AS$9,,-$S14,0)</f>
        <v>1.4257608868461786</v>
      </c>
      <c r="AV14" s="174"/>
      <c r="AW14" s="174">
        <f t="shared" ref="AW14:AW35" si="14">FV($U$6,AU$9,,-$S14,0)</f>
        <v>1.4685337134515639</v>
      </c>
      <c r="AX14" s="174"/>
      <c r="AY14" s="174">
        <f t="shared" ref="AY14:AY35" si="15">FV($U$6,AW$9,,-$S14,0)</f>
        <v>1.512589724855111</v>
      </c>
      <c r="BJ14" s="178"/>
      <c r="BK14" s="221"/>
      <c r="BL14" s="221"/>
      <c r="BM14" s="221"/>
      <c r="BN14" s="221"/>
      <c r="BO14" s="221"/>
      <c r="BP14" s="221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167"/>
      <c r="CC14" s="167"/>
      <c r="CD14" s="167"/>
      <c r="CE14" s="167"/>
    </row>
    <row r="15" spans="1:83" ht="23.25" customHeight="1" x14ac:dyDescent="0.35">
      <c r="A15" s="168">
        <f>+A14+1</f>
        <v>42</v>
      </c>
      <c r="B15" s="169"/>
      <c r="C15" s="174">
        <v>1</v>
      </c>
      <c r="D15" s="171"/>
      <c r="E15" s="168" t="s">
        <v>45</v>
      </c>
      <c r="F15" s="169"/>
      <c r="G15" s="169" t="s">
        <v>45</v>
      </c>
      <c r="H15" s="169"/>
      <c r="I15" s="168" t="s">
        <v>45</v>
      </c>
      <c r="J15" s="169"/>
      <c r="K15" s="168" t="s">
        <v>45</v>
      </c>
      <c r="L15" s="169"/>
      <c r="M15" s="168">
        <v>1</v>
      </c>
      <c r="N15" s="237">
        <f t="shared" ref="N15:N22" si="16">N14</f>
        <v>2023</v>
      </c>
      <c r="O15" s="168">
        <v>1</v>
      </c>
      <c r="P15" s="169"/>
      <c r="Q15" s="172">
        <v>1</v>
      </c>
      <c r="R15" s="173"/>
      <c r="S15" s="174">
        <f t="shared" ref="S15:S35" si="17">C15*Q15</f>
        <v>1</v>
      </c>
      <c r="T15" s="174"/>
      <c r="U15" s="175">
        <f t="shared" ref="U15:U35" si="18">SUM(W15:AY15)+SUM(I48:AK48)</f>
        <v>47.575415706322005</v>
      </c>
      <c r="V15" s="171"/>
      <c r="W15" s="174">
        <f t="shared" si="1"/>
        <v>1</v>
      </c>
      <c r="X15" s="174"/>
      <c r="Y15" s="174">
        <f t="shared" si="2"/>
        <v>1.03</v>
      </c>
      <c r="Z15" s="174"/>
      <c r="AA15" s="174">
        <f t="shared" si="3"/>
        <v>1.0609</v>
      </c>
      <c r="AB15" s="174"/>
      <c r="AC15" s="174">
        <f t="shared" si="4"/>
        <v>1.092727</v>
      </c>
      <c r="AD15" s="174"/>
      <c r="AE15" s="174">
        <f t="shared" si="5"/>
        <v>1.1255088099999999</v>
      </c>
      <c r="AF15" s="174"/>
      <c r="AG15" s="174">
        <f t="shared" si="6"/>
        <v>1.1592740742999998</v>
      </c>
      <c r="AH15" s="174"/>
      <c r="AI15" s="174">
        <f t="shared" si="7"/>
        <v>1.1940522965289999</v>
      </c>
      <c r="AJ15" s="174"/>
      <c r="AK15" s="174">
        <f t="shared" si="8"/>
        <v>1.22987386542487</v>
      </c>
      <c r="AL15" s="174"/>
      <c r="AM15" s="174">
        <f t="shared" si="9"/>
        <v>1.2667700813876159</v>
      </c>
      <c r="AN15" s="174"/>
      <c r="AO15" s="174">
        <f t="shared" si="10"/>
        <v>1.3047731838292445</v>
      </c>
      <c r="AP15" s="174"/>
      <c r="AQ15" s="174">
        <f t="shared" si="11"/>
        <v>1.3439163793441218</v>
      </c>
      <c r="AR15" s="174"/>
      <c r="AS15" s="174">
        <f t="shared" si="12"/>
        <v>1.3842338707244455</v>
      </c>
      <c r="AT15" s="174"/>
      <c r="AU15" s="174">
        <f t="shared" si="13"/>
        <v>1.4257608868461786</v>
      </c>
      <c r="AV15" s="174"/>
      <c r="AW15" s="174">
        <f t="shared" si="14"/>
        <v>1.4685337134515639</v>
      </c>
      <c r="AX15" s="174"/>
      <c r="AY15" s="174">
        <f t="shared" si="15"/>
        <v>1.512589724855111</v>
      </c>
      <c r="BJ15" s="178"/>
      <c r="BK15" s="221"/>
      <c r="BL15" s="221"/>
      <c r="BM15" s="221"/>
      <c r="BN15" s="221"/>
      <c r="BO15" s="221"/>
      <c r="BP15" s="221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167"/>
      <c r="CC15" s="167"/>
      <c r="CD15" s="167"/>
      <c r="CE15" s="167"/>
    </row>
    <row r="16" spans="1:83" ht="23.25" customHeight="1" x14ac:dyDescent="0.35">
      <c r="A16" s="168">
        <f>+A15+1</f>
        <v>43</v>
      </c>
      <c r="B16" s="169"/>
      <c r="C16" s="174">
        <v>1</v>
      </c>
      <c r="D16" s="171"/>
      <c r="E16" s="168" t="s">
        <v>45</v>
      </c>
      <c r="F16" s="169"/>
      <c r="G16" s="169" t="s">
        <v>45</v>
      </c>
      <c r="H16" s="169"/>
      <c r="I16" s="168" t="s">
        <v>45</v>
      </c>
      <c r="J16" s="169"/>
      <c r="K16" s="168" t="s">
        <v>45</v>
      </c>
      <c r="L16" s="169"/>
      <c r="M16" s="168">
        <v>1</v>
      </c>
      <c r="N16" s="237">
        <f t="shared" si="16"/>
        <v>2023</v>
      </c>
      <c r="O16" s="168">
        <v>1</v>
      </c>
      <c r="P16" s="169"/>
      <c r="Q16" s="172">
        <v>1</v>
      </c>
      <c r="R16" s="173"/>
      <c r="S16" s="174">
        <f t="shared" si="17"/>
        <v>1</v>
      </c>
      <c r="T16" s="174"/>
      <c r="U16" s="175">
        <f t="shared" si="18"/>
        <v>47.575415706322005</v>
      </c>
      <c r="V16" s="171"/>
      <c r="W16" s="174">
        <f t="shared" si="1"/>
        <v>1</v>
      </c>
      <c r="X16" s="174"/>
      <c r="Y16" s="174">
        <f t="shared" si="2"/>
        <v>1.03</v>
      </c>
      <c r="Z16" s="174"/>
      <c r="AA16" s="174">
        <f t="shared" si="3"/>
        <v>1.0609</v>
      </c>
      <c r="AB16" s="174"/>
      <c r="AC16" s="174">
        <f t="shared" si="4"/>
        <v>1.092727</v>
      </c>
      <c r="AD16" s="174"/>
      <c r="AE16" s="174">
        <f t="shared" si="5"/>
        <v>1.1255088099999999</v>
      </c>
      <c r="AF16" s="174"/>
      <c r="AG16" s="174">
        <f t="shared" si="6"/>
        <v>1.1592740742999998</v>
      </c>
      <c r="AH16" s="174"/>
      <c r="AI16" s="174">
        <f t="shared" si="7"/>
        <v>1.1940522965289999</v>
      </c>
      <c r="AJ16" s="174"/>
      <c r="AK16" s="174">
        <f t="shared" si="8"/>
        <v>1.22987386542487</v>
      </c>
      <c r="AL16" s="174"/>
      <c r="AM16" s="174">
        <f t="shared" si="9"/>
        <v>1.2667700813876159</v>
      </c>
      <c r="AN16" s="174"/>
      <c r="AO16" s="174">
        <f t="shared" si="10"/>
        <v>1.3047731838292445</v>
      </c>
      <c r="AP16" s="174"/>
      <c r="AQ16" s="174">
        <f t="shared" si="11"/>
        <v>1.3439163793441218</v>
      </c>
      <c r="AR16" s="174"/>
      <c r="AS16" s="174">
        <f t="shared" si="12"/>
        <v>1.3842338707244455</v>
      </c>
      <c r="AT16" s="174"/>
      <c r="AU16" s="174">
        <f t="shared" si="13"/>
        <v>1.4257608868461786</v>
      </c>
      <c r="AV16" s="174"/>
      <c r="AW16" s="174">
        <f t="shared" si="14"/>
        <v>1.4685337134515639</v>
      </c>
      <c r="AX16" s="174"/>
      <c r="AY16" s="174">
        <f t="shared" si="15"/>
        <v>1.512589724855111</v>
      </c>
      <c r="BJ16" s="221"/>
      <c r="BK16" s="221"/>
      <c r="BL16" s="221"/>
      <c r="BM16" s="221"/>
      <c r="BN16" s="221"/>
      <c r="BO16" s="221"/>
      <c r="BP16" s="221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167"/>
      <c r="CC16" s="167"/>
      <c r="CD16" s="167"/>
      <c r="CE16" s="167"/>
    </row>
    <row r="17" spans="1:83" ht="23.25" customHeight="1" x14ac:dyDescent="0.35">
      <c r="A17" s="135">
        <f>+A16+1</f>
        <v>44</v>
      </c>
      <c r="C17" s="178">
        <v>1</v>
      </c>
      <c r="E17" s="135" t="s">
        <v>45</v>
      </c>
      <c r="G17" s="136" t="s">
        <v>45</v>
      </c>
      <c r="I17" s="135" t="s">
        <v>45</v>
      </c>
      <c r="K17" s="135" t="s">
        <v>45</v>
      </c>
      <c r="M17" s="135">
        <v>1</v>
      </c>
      <c r="N17" s="238">
        <f t="shared" si="16"/>
        <v>2023</v>
      </c>
      <c r="O17" s="135">
        <v>1</v>
      </c>
      <c r="Q17" s="176">
        <v>1</v>
      </c>
      <c r="R17" s="177"/>
      <c r="S17" s="178">
        <f t="shared" si="17"/>
        <v>1</v>
      </c>
      <c r="T17" s="178"/>
      <c r="U17" s="179">
        <f t="shared" si="18"/>
        <v>47.575415706322005</v>
      </c>
      <c r="V17" s="138"/>
      <c r="W17" s="178">
        <f t="shared" si="1"/>
        <v>1</v>
      </c>
      <c r="X17" s="178"/>
      <c r="Y17" s="178">
        <f t="shared" si="2"/>
        <v>1.03</v>
      </c>
      <c r="Z17" s="178"/>
      <c r="AA17" s="178">
        <f t="shared" si="3"/>
        <v>1.0609</v>
      </c>
      <c r="AB17" s="178"/>
      <c r="AC17" s="178">
        <f t="shared" si="4"/>
        <v>1.092727</v>
      </c>
      <c r="AD17" s="178"/>
      <c r="AE17" s="178">
        <f t="shared" si="5"/>
        <v>1.1255088099999999</v>
      </c>
      <c r="AF17" s="178"/>
      <c r="AG17" s="178">
        <f t="shared" si="6"/>
        <v>1.1592740742999998</v>
      </c>
      <c r="AH17" s="178"/>
      <c r="AI17" s="178">
        <f t="shared" si="7"/>
        <v>1.1940522965289999</v>
      </c>
      <c r="AJ17" s="178"/>
      <c r="AK17" s="178">
        <f t="shared" si="8"/>
        <v>1.22987386542487</v>
      </c>
      <c r="AL17" s="178"/>
      <c r="AM17" s="178">
        <f t="shared" si="9"/>
        <v>1.2667700813876159</v>
      </c>
      <c r="AN17" s="178"/>
      <c r="AO17" s="178">
        <f t="shared" si="10"/>
        <v>1.3047731838292445</v>
      </c>
      <c r="AP17" s="178"/>
      <c r="AQ17" s="178">
        <f t="shared" si="11"/>
        <v>1.3439163793441218</v>
      </c>
      <c r="AR17" s="178"/>
      <c r="AS17" s="178">
        <f t="shared" si="12"/>
        <v>1.3842338707244455</v>
      </c>
      <c r="AT17" s="178"/>
      <c r="AU17" s="178">
        <f t="shared" si="13"/>
        <v>1.4257608868461786</v>
      </c>
      <c r="AV17" s="178"/>
      <c r="AW17" s="178">
        <f t="shared" si="14"/>
        <v>1.4685337134515639</v>
      </c>
      <c r="AX17" s="178"/>
      <c r="AY17" s="178">
        <f t="shared" si="15"/>
        <v>1.512589724855111</v>
      </c>
      <c r="BJ17" s="221"/>
      <c r="BK17" s="221"/>
      <c r="BL17" s="221"/>
      <c r="BM17" s="221"/>
      <c r="BN17" s="221"/>
      <c r="BO17" s="221"/>
      <c r="BP17" s="221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167"/>
      <c r="CC17" s="167"/>
      <c r="CD17" s="167"/>
      <c r="CE17" s="167"/>
    </row>
    <row r="18" spans="1:83" ht="23.25" customHeight="1" x14ac:dyDescent="0.35">
      <c r="A18" s="135">
        <f t="shared" ref="A18:A35" si="19">+A17+1</f>
        <v>45</v>
      </c>
      <c r="C18" s="178">
        <v>1</v>
      </c>
      <c r="E18" s="135" t="s">
        <v>45</v>
      </c>
      <c r="G18" s="136" t="s">
        <v>45</v>
      </c>
      <c r="I18" s="135" t="s">
        <v>45</v>
      </c>
      <c r="K18" s="135" t="s">
        <v>45</v>
      </c>
      <c r="M18" s="135">
        <v>1</v>
      </c>
      <c r="N18" s="238">
        <f t="shared" si="16"/>
        <v>2023</v>
      </c>
      <c r="O18" s="135">
        <v>1</v>
      </c>
      <c r="Q18" s="176">
        <v>1</v>
      </c>
      <c r="R18" s="177"/>
      <c r="S18" s="178">
        <f t="shared" si="17"/>
        <v>1</v>
      </c>
      <c r="T18" s="178"/>
      <c r="U18" s="179">
        <f t="shared" si="18"/>
        <v>47.575415706322005</v>
      </c>
      <c r="V18" s="138"/>
      <c r="W18" s="178">
        <f t="shared" si="1"/>
        <v>1</v>
      </c>
      <c r="X18" s="178"/>
      <c r="Y18" s="178">
        <f t="shared" si="2"/>
        <v>1.03</v>
      </c>
      <c r="Z18" s="178"/>
      <c r="AA18" s="178">
        <f t="shared" si="3"/>
        <v>1.0609</v>
      </c>
      <c r="AB18" s="178"/>
      <c r="AC18" s="178">
        <f t="shared" si="4"/>
        <v>1.092727</v>
      </c>
      <c r="AD18" s="178"/>
      <c r="AE18" s="178">
        <f t="shared" si="5"/>
        <v>1.1255088099999999</v>
      </c>
      <c r="AF18" s="178"/>
      <c r="AG18" s="178">
        <f t="shared" si="6"/>
        <v>1.1592740742999998</v>
      </c>
      <c r="AH18" s="178"/>
      <c r="AI18" s="178">
        <f t="shared" si="7"/>
        <v>1.1940522965289999</v>
      </c>
      <c r="AJ18" s="178"/>
      <c r="AK18" s="178">
        <f t="shared" si="8"/>
        <v>1.22987386542487</v>
      </c>
      <c r="AL18" s="178"/>
      <c r="AM18" s="178">
        <f t="shared" si="9"/>
        <v>1.2667700813876159</v>
      </c>
      <c r="AN18" s="178"/>
      <c r="AO18" s="178">
        <f t="shared" si="10"/>
        <v>1.3047731838292445</v>
      </c>
      <c r="AP18" s="178"/>
      <c r="AQ18" s="178">
        <f t="shared" si="11"/>
        <v>1.3439163793441218</v>
      </c>
      <c r="AR18" s="178"/>
      <c r="AS18" s="178">
        <f t="shared" si="12"/>
        <v>1.3842338707244455</v>
      </c>
      <c r="AT18" s="178"/>
      <c r="AU18" s="178">
        <f t="shared" si="13"/>
        <v>1.4257608868461786</v>
      </c>
      <c r="AV18" s="178"/>
      <c r="AW18" s="178">
        <f t="shared" si="14"/>
        <v>1.4685337134515639</v>
      </c>
      <c r="AX18" s="178"/>
      <c r="AY18" s="178">
        <f t="shared" si="15"/>
        <v>1.512589724855111</v>
      </c>
      <c r="BJ18" s="221"/>
      <c r="BK18" s="221"/>
      <c r="BL18" s="221"/>
      <c r="BM18" s="221"/>
      <c r="BN18" s="221"/>
      <c r="BO18" s="221"/>
      <c r="BP18" s="221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167"/>
      <c r="CC18" s="167"/>
      <c r="CD18" s="167"/>
      <c r="CE18" s="167"/>
    </row>
    <row r="19" spans="1:83" ht="23.25" customHeight="1" x14ac:dyDescent="0.35">
      <c r="A19" s="135">
        <f t="shared" si="19"/>
        <v>46</v>
      </c>
      <c r="C19" s="178">
        <v>1</v>
      </c>
      <c r="E19" s="135" t="s">
        <v>45</v>
      </c>
      <c r="G19" s="136" t="s">
        <v>45</v>
      </c>
      <c r="I19" s="135" t="s">
        <v>45</v>
      </c>
      <c r="K19" s="135" t="s">
        <v>45</v>
      </c>
      <c r="M19" s="135">
        <v>1</v>
      </c>
      <c r="N19" s="238">
        <f t="shared" si="16"/>
        <v>2023</v>
      </c>
      <c r="O19" s="135">
        <v>1</v>
      </c>
      <c r="Q19" s="176">
        <v>1</v>
      </c>
      <c r="R19" s="177"/>
      <c r="S19" s="178">
        <f t="shared" si="17"/>
        <v>1</v>
      </c>
      <c r="T19" s="178"/>
      <c r="U19" s="179">
        <f t="shared" si="18"/>
        <v>47.575415706322005</v>
      </c>
      <c r="V19" s="138"/>
      <c r="W19" s="178">
        <f t="shared" si="1"/>
        <v>1</v>
      </c>
      <c r="X19" s="178"/>
      <c r="Y19" s="178">
        <f t="shared" si="2"/>
        <v>1.03</v>
      </c>
      <c r="Z19" s="178"/>
      <c r="AA19" s="178">
        <f t="shared" si="3"/>
        <v>1.0609</v>
      </c>
      <c r="AB19" s="178"/>
      <c r="AC19" s="178">
        <f t="shared" si="4"/>
        <v>1.092727</v>
      </c>
      <c r="AD19" s="178"/>
      <c r="AE19" s="178">
        <f t="shared" si="5"/>
        <v>1.1255088099999999</v>
      </c>
      <c r="AF19" s="178"/>
      <c r="AG19" s="178">
        <f t="shared" si="6"/>
        <v>1.1592740742999998</v>
      </c>
      <c r="AH19" s="178"/>
      <c r="AI19" s="178">
        <f t="shared" si="7"/>
        <v>1.1940522965289999</v>
      </c>
      <c r="AJ19" s="178"/>
      <c r="AK19" s="178">
        <f t="shared" si="8"/>
        <v>1.22987386542487</v>
      </c>
      <c r="AL19" s="178"/>
      <c r="AM19" s="178">
        <f t="shared" si="9"/>
        <v>1.2667700813876159</v>
      </c>
      <c r="AN19" s="178"/>
      <c r="AO19" s="178">
        <f t="shared" si="10"/>
        <v>1.3047731838292445</v>
      </c>
      <c r="AP19" s="178"/>
      <c r="AQ19" s="178">
        <f t="shared" si="11"/>
        <v>1.3439163793441218</v>
      </c>
      <c r="AR19" s="178"/>
      <c r="AS19" s="178">
        <f t="shared" si="12"/>
        <v>1.3842338707244455</v>
      </c>
      <c r="AT19" s="178"/>
      <c r="AU19" s="178">
        <f t="shared" si="13"/>
        <v>1.4257608868461786</v>
      </c>
      <c r="AV19" s="178"/>
      <c r="AW19" s="178">
        <f t="shared" si="14"/>
        <v>1.4685337134515639</v>
      </c>
      <c r="AX19" s="178"/>
      <c r="AY19" s="178">
        <f t="shared" si="15"/>
        <v>1.512589724855111</v>
      </c>
      <c r="BJ19" s="221"/>
      <c r="BK19" s="221"/>
      <c r="BL19" s="221"/>
      <c r="BM19" s="221"/>
      <c r="BN19" s="221"/>
      <c r="BO19" s="221"/>
      <c r="BP19" s="221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167"/>
      <c r="CC19" s="167"/>
      <c r="CD19" s="167"/>
      <c r="CE19" s="167"/>
    </row>
    <row r="20" spans="1:83" ht="23.25" customHeight="1" x14ac:dyDescent="0.35">
      <c r="A20" s="168">
        <f t="shared" si="19"/>
        <v>47</v>
      </c>
      <c r="B20" s="169"/>
      <c r="C20" s="174">
        <v>1</v>
      </c>
      <c r="D20" s="171"/>
      <c r="E20" s="170" t="s">
        <v>45</v>
      </c>
      <c r="F20" s="170"/>
      <c r="G20" s="169" t="s">
        <v>45</v>
      </c>
      <c r="H20" s="169"/>
      <c r="I20" s="168" t="s">
        <v>45</v>
      </c>
      <c r="J20" s="169"/>
      <c r="K20" s="168" t="s">
        <v>45</v>
      </c>
      <c r="L20" s="169"/>
      <c r="M20" s="168">
        <v>1</v>
      </c>
      <c r="N20" s="237">
        <f t="shared" si="16"/>
        <v>2023</v>
      </c>
      <c r="O20" s="168">
        <v>1</v>
      </c>
      <c r="P20" s="169"/>
      <c r="Q20" s="172">
        <v>1</v>
      </c>
      <c r="R20" s="173"/>
      <c r="S20" s="174">
        <f t="shared" si="17"/>
        <v>1</v>
      </c>
      <c r="T20" s="174"/>
      <c r="U20" s="175">
        <f t="shared" si="18"/>
        <v>47.575415706322005</v>
      </c>
      <c r="V20" s="171"/>
      <c r="W20" s="174">
        <f t="shared" ref="W20:W35" si="20">S20</f>
        <v>1</v>
      </c>
      <c r="X20" s="174"/>
      <c r="Y20" s="174">
        <f t="shared" ref="Y20:Y35" si="21">FV($U$6,W$9,,-$S20,0)</f>
        <v>1.03</v>
      </c>
      <c r="Z20" s="174"/>
      <c r="AA20" s="174">
        <f t="shared" si="3"/>
        <v>1.0609</v>
      </c>
      <c r="AB20" s="174"/>
      <c r="AC20" s="174">
        <f t="shared" si="4"/>
        <v>1.092727</v>
      </c>
      <c r="AD20" s="174"/>
      <c r="AE20" s="174">
        <f t="shared" si="5"/>
        <v>1.1255088099999999</v>
      </c>
      <c r="AF20" s="174"/>
      <c r="AG20" s="174">
        <f t="shared" si="6"/>
        <v>1.1592740742999998</v>
      </c>
      <c r="AH20" s="174"/>
      <c r="AI20" s="174">
        <f t="shared" si="7"/>
        <v>1.1940522965289999</v>
      </c>
      <c r="AJ20" s="174"/>
      <c r="AK20" s="174">
        <f t="shared" si="8"/>
        <v>1.22987386542487</v>
      </c>
      <c r="AL20" s="174"/>
      <c r="AM20" s="174">
        <f t="shared" si="9"/>
        <v>1.2667700813876159</v>
      </c>
      <c r="AN20" s="174"/>
      <c r="AO20" s="174">
        <f t="shared" si="10"/>
        <v>1.3047731838292445</v>
      </c>
      <c r="AP20" s="174"/>
      <c r="AQ20" s="174">
        <f t="shared" si="11"/>
        <v>1.3439163793441218</v>
      </c>
      <c r="AR20" s="174"/>
      <c r="AS20" s="174">
        <f t="shared" si="12"/>
        <v>1.3842338707244455</v>
      </c>
      <c r="AT20" s="174"/>
      <c r="AU20" s="174">
        <f t="shared" si="13"/>
        <v>1.4257608868461786</v>
      </c>
      <c r="AV20" s="174"/>
      <c r="AW20" s="174">
        <f t="shared" si="14"/>
        <v>1.4685337134515639</v>
      </c>
      <c r="AX20" s="174"/>
      <c r="AY20" s="174">
        <f t="shared" si="15"/>
        <v>1.512589724855111</v>
      </c>
      <c r="BJ20" s="221"/>
      <c r="BK20" s="221"/>
      <c r="BL20" s="221"/>
      <c r="BM20" s="221"/>
      <c r="BN20" s="221"/>
      <c r="BO20" s="221"/>
      <c r="BP20" s="221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167"/>
      <c r="CC20" s="167"/>
      <c r="CD20" s="167"/>
      <c r="CE20" s="167"/>
    </row>
    <row r="21" spans="1:83" ht="23.25" customHeight="1" x14ac:dyDescent="0.35">
      <c r="A21" s="168">
        <f t="shared" si="19"/>
        <v>48</v>
      </c>
      <c r="B21" s="169"/>
      <c r="C21" s="174">
        <v>1</v>
      </c>
      <c r="D21" s="171"/>
      <c r="E21" s="168" t="s">
        <v>45</v>
      </c>
      <c r="F21" s="169"/>
      <c r="G21" s="169" t="s">
        <v>45</v>
      </c>
      <c r="H21" s="169"/>
      <c r="I21" s="168" t="s">
        <v>45</v>
      </c>
      <c r="J21" s="169"/>
      <c r="K21" s="168" t="s">
        <v>45</v>
      </c>
      <c r="L21" s="169"/>
      <c r="M21" s="168">
        <v>1</v>
      </c>
      <c r="N21" s="237">
        <f t="shared" si="16"/>
        <v>2023</v>
      </c>
      <c r="O21" s="168">
        <v>1</v>
      </c>
      <c r="P21" s="169"/>
      <c r="Q21" s="172">
        <v>1</v>
      </c>
      <c r="R21" s="173"/>
      <c r="S21" s="174">
        <f t="shared" si="17"/>
        <v>1</v>
      </c>
      <c r="T21" s="174"/>
      <c r="U21" s="175">
        <f t="shared" si="18"/>
        <v>47.575415706322005</v>
      </c>
      <c r="V21" s="171"/>
      <c r="W21" s="174">
        <f t="shared" si="20"/>
        <v>1</v>
      </c>
      <c r="X21" s="174"/>
      <c r="Y21" s="174">
        <f t="shared" si="21"/>
        <v>1.03</v>
      </c>
      <c r="Z21" s="174"/>
      <c r="AA21" s="174">
        <f>FV($U$6,Y$9,,-$S21,0)</f>
        <v>1.0609</v>
      </c>
      <c r="AB21" s="174"/>
      <c r="AC21" s="174">
        <f t="shared" si="4"/>
        <v>1.092727</v>
      </c>
      <c r="AD21" s="174"/>
      <c r="AE21" s="174">
        <f t="shared" si="5"/>
        <v>1.1255088099999999</v>
      </c>
      <c r="AF21" s="174"/>
      <c r="AG21" s="174">
        <f t="shared" si="6"/>
        <v>1.1592740742999998</v>
      </c>
      <c r="AH21" s="174"/>
      <c r="AI21" s="174">
        <f t="shared" si="7"/>
        <v>1.1940522965289999</v>
      </c>
      <c r="AJ21" s="174"/>
      <c r="AK21" s="174">
        <f t="shared" si="8"/>
        <v>1.22987386542487</v>
      </c>
      <c r="AL21" s="174"/>
      <c r="AM21" s="174">
        <f t="shared" si="9"/>
        <v>1.2667700813876159</v>
      </c>
      <c r="AN21" s="174"/>
      <c r="AO21" s="174">
        <f t="shared" si="10"/>
        <v>1.3047731838292445</v>
      </c>
      <c r="AP21" s="174"/>
      <c r="AQ21" s="174">
        <f t="shared" si="11"/>
        <v>1.3439163793441218</v>
      </c>
      <c r="AR21" s="174"/>
      <c r="AS21" s="174">
        <f t="shared" si="12"/>
        <v>1.3842338707244455</v>
      </c>
      <c r="AT21" s="174"/>
      <c r="AU21" s="174">
        <f t="shared" si="13"/>
        <v>1.4257608868461786</v>
      </c>
      <c r="AV21" s="174"/>
      <c r="AW21" s="174">
        <f t="shared" si="14"/>
        <v>1.4685337134515639</v>
      </c>
      <c r="AX21" s="174"/>
      <c r="AY21" s="174">
        <f t="shared" si="15"/>
        <v>1.512589724855111</v>
      </c>
      <c r="BJ21" s="221"/>
      <c r="BK21" s="221"/>
      <c r="BL21" s="221"/>
      <c r="BM21" s="221"/>
      <c r="BN21" s="221"/>
      <c r="BO21" s="221"/>
      <c r="BP21" s="221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167"/>
      <c r="CC21" s="167"/>
      <c r="CD21" s="167"/>
      <c r="CE21" s="167"/>
    </row>
    <row r="22" spans="1:83" ht="23.25" customHeight="1" x14ac:dyDescent="0.35">
      <c r="A22" s="168">
        <f t="shared" si="19"/>
        <v>49</v>
      </c>
      <c r="B22" s="169"/>
      <c r="C22" s="174">
        <v>1</v>
      </c>
      <c r="D22" s="171"/>
      <c r="E22" s="168" t="s">
        <v>45</v>
      </c>
      <c r="F22" s="169"/>
      <c r="G22" s="169" t="s">
        <v>45</v>
      </c>
      <c r="H22" s="169"/>
      <c r="I22" s="168" t="s">
        <v>45</v>
      </c>
      <c r="J22" s="169"/>
      <c r="K22" s="168" t="s">
        <v>45</v>
      </c>
      <c r="L22" s="169"/>
      <c r="M22" s="168">
        <v>1</v>
      </c>
      <c r="N22" s="237">
        <f t="shared" si="16"/>
        <v>2023</v>
      </c>
      <c r="O22" s="168">
        <v>1</v>
      </c>
      <c r="P22" s="169"/>
      <c r="Q22" s="172">
        <v>1</v>
      </c>
      <c r="R22" s="173"/>
      <c r="S22" s="174">
        <f t="shared" si="17"/>
        <v>1</v>
      </c>
      <c r="T22" s="174"/>
      <c r="U22" s="175">
        <f t="shared" si="18"/>
        <v>47.575415706322005</v>
      </c>
      <c r="V22" s="171"/>
      <c r="W22" s="174">
        <f t="shared" si="20"/>
        <v>1</v>
      </c>
      <c r="X22" s="174"/>
      <c r="Y22" s="174">
        <f t="shared" si="21"/>
        <v>1.03</v>
      </c>
      <c r="Z22" s="174"/>
      <c r="AA22" s="174">
        <f t="shared" si="3"/>
        <v>1.0609</v>
      </c>
      <c r="AB22" s="174"/>
      <c r="AC22" s="174">
        <f t="shared" si="4"/>
        <v>1.092727</v>
      </c>
      <c r="AD22" s="174"/>
      <c r="AE22" s="174">
        <f t="shared" si="5"/>
        <v>1.1255088099999999</v>
      </c>
      <c r="AF22" s="174"/>
      <c r="AG22" s="174">
        <f t="shared" si="6"/>
        <v>1.1592740742999998</v>
      </c>
      <c r="AH22" s="174"/>
      <c r="AI22" s="174">
        <f t="shared" si="7"/>
        <v>1.1940522965289999</v>
      </c>
      <c r="AJ22" s="174"/>
      <c r="AK22" s="174">
        <f t="shared" si="8"/>
        <v>1.22987386542487</v>
      </c>
      <c r="AL22" s="174"/>
      <c r="AM22" s="174">
        <f t="shared" si="9"/>
        <v>1.2667700813876159</v>
      </c>
      <c r="AN22" s="174"/>
      <c r="AO22" s="174">
        <f t="shared" si="10"/>
        <v>1.3047731838292445</v>
      </c>
      <c r="AP22" s="174"/>
      <c r="AQ22" s="174">
        <f t="shared" si="11"/>
        <v>1.3439163793441218</v>
      </c>
      <c r="AR22" s="174"/>
      <c r="AS22" s="174">
        <f t="shared" si="12"/>
        <v>1.3842338707244455</v>
      </c>
      <c r="AT22" s="174"/>
      <c r="AU22" s="174">
        <f t="shared" si="13"/>
        <v>1.4257608868461786</v>
      </c>
      <c r="AV22" s="174"/>
      <c r="AW22" s="174">
        <f t="shared" si="14"/>
        <v>1.4685337134515639</v>
      </c>
      <c r="AX22" s="174"/>
      <c r="AY22" s="174">
        <f t="shared" si="15"/>
        <v>1.512589724855111</v>
      </c>
      <c r="BJ22" s="221"/>
      <c r="BK22" s="221"/>
      <c r="BL22" s="221"/>
      <c r="BM22" s="221"/>
      <c r="BN22" s="221"/>
      <c r="BO22" s="221"/>
      <c r="BP22" s="221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167"/>
      <c r="CC22" s="167"/>
      <c r="CD22" s="167"/>
      <c r="CE22" s="167"/>
    </row>
    <row r="23" spans="1:83" ht="23.25" customHeight="1" x14ac:dyDescent="0.35">
      <c r="A23" s="135">
        <f t="shared" si="19"/>
        <v>50</v>
      </c>
      <c r="C23" s="178">
        <v>1</v>
      </c>
      <c r="E23" s="135" t="s">
        <v>45</v>
      </c>
      <c r="G23" s="136" t="s">
        <v>45</v>
      </c>
      <c r="I23" s="135" t="s">
        <v>45</v>
      </c>
      <c r="K23" s="135" t="s">
        <v>45</v>
      </c>
      <c r="M23" s="135">
        <v>1</v>
      </c>
      <c r="N23" s="238">
        <f t="shared" ref="N23:N35" si="22">N22</f>
        <v>2023</v>
      </c>
      <c r="O23" s="135">
        <v>1</v>
      </c>
      <c r="Q23" s="176">
        <v>1</v>
      </c>
      <c r="R23" s="177"/>
      <c r="S23" s="178">
        <f t="shared" si="17"/>
        <v>1</v>
      </c>
      <c r="T23" s="178"/>
      <c r="U23" s="179">
        <f t="shared" si="18"/>
        <v>47.575415706322005</v>
      </c>
      <c r="V23" s="138"/>
      <c r="W23" s="178">
        <f t="shared" si="20"/>
        <v>1</v>
      </c>
      <c r="X23" s="178"/>
      <c r="Y23" s="178">
        <f t="shared" si="21"/>
        <v>1.03</v>
      </c>
      <c r="Z23" s="178"/>
      <c r="AA23" s="178">
        <f t="shared" si="3"/>
        <v>1.0609</v>
      </c>
      <c r="AB23" s="178"/>
      <c r="AC23" s="178">
        <f t="shared" si="4"/>
        <v>1.092727</v>
      </c>
      <c r="AD23" s="178"/>
      <c r="AE23" s="178">
        <f t="shared" si="5"/>
        <v>1.1255088099999999</v>
      </c>
      <c r="AF23" s="178"/>
      <c r="AG23" s="178">
        <f t="shared" si="6"/>
        <v>1.1592740742999998</v>
      </c>
      <c r="AH23" s="178"/>
      <c r="AI23" s="178">
        <f t="shared" si="7"/>
        <v>1.1940522965289999</v>
      </c>
      <c r="AJ23" s="178"/>
      <c r="AK23" s="178">
        <f t="shared" si="8"/>
        <v>1.22987386542487</v>
      </c>
      <c r="AL23" s="178"/>
      <c r="AM23" s="178">
        <f t="shared" si="9"/>
        <v>1.2667700813876159</v>
      </c>
      <c r="AN23" s="178"/>
      <c r="AO23" s="178">
        <f t="shared" si="10"/>
        <v>1.3047731838292445</v>
      </c>
      <c r="AP23" s="178"/>
      <c r="AQ23" s="178">
        <f t="shared" si="11"/>
        <v>1.3439163793441218</v>
      </c>
      <c r="AR23" s="178"/>
      <c r="AS23" s="178">
        <f t="shared" si="12"/>
        <v>1.3842338707244455</v>
      </c>
      <c r="AT23" s="178"/>
      <c r="AU23" s="178">
        <f t="shared" si="13"/>
        <v>1.4257608868461786</v>
      </c>
      <c r="AV23" s="178"/>
      <c r="AW23" s="178">
        <f t="shared" si="14"/>
        <v>1.4685337134515639</v>
      </c>
      <c r="AX23" s="178"/>
      <c r="AY23" s="178">
        <f t="shared" si="15"/>
        <v>1.512589724855111</v>
      </c>
      <c r="BJ23" s="221"/>
      <c r="BK23" s="221"/>
      <c r="BL23" s="221"/>
      <c r="BM23" s="221"/>
      <c r="BN23" s="221"/>
      <c r="BO23" s="221"/>
      <c r="BP23" s="221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167"/>
      <c r="CC23" s="167"/>
      <c r="CD23" s="167"/>
      <c r="CE23" s="167"/>
    </row>
    <row r="24" spans="1:83" ht="23.25" customHeight="1" x14ac:dyDescent="0.35">
      <c r="A24" s="135">
        <f t="shared" si="19"/>
        <v>51</v>
      </c>
      <c r="C24" s="178">
        <v>1</v>
      </c>
      <c r="E24" s="135" t="s">
        <v>45</v>
      </c>
      <c r="G24" s="188" t="s">
        <v>45</v>
      </c>
      <c r="I24" s="135" t="s">
        <v>45</v>
      </c>
      <c r="K24" s="135" t="s">
        <v>45</v>
      </c>
      <c r="M24" s="135">
        <v>1</v>
      </c>
      <c r="N24" s="238">
        <f t="shared" si="22"/>
        <v>2023</v>
      </c>
      <c r="O24" s="135">
        <v>1</v>
      </c>
      <c r="Q24" s="176">
        <v>1</v>
      </c>
      <c r="R24" s="177"/>
      <c r="S24" s="178">
        <f t="shared" si="17"/>
        <v>1</v>
      </c>
      <c r="T24" s="178"/>
      <c r="U24" s="179">
        <f t="shared" si="18"/>
        <v>47.575415706322005</v>
      </c>
      <c r="V24" s="138"/>
      <c r="W24" s="178">
        <f t="shared" si="20"/>
        <v>1</v>
      </c>
      <c r="X24" s="178"/>
      <c r="Y24" s="178">
        <f t="shared" si="21"/>
        <v>1.03</v>
      </c>
      <c r="Z24" s="178"/>
      <c r="AA24" s="178">
        <f t="shared" si="3"/>
        <v>1.0609</v>
      </c>
      <c r="AB24" s="178"/>
      <c r="AC24" s="178">
        <f t="shared" si="4"/>
        <v>1.092727</v>
      </c>
      <c r="AD24" s="178"/>
      <c r="AE24" s="178">
        <f t="shared" si="5"/>
        <v>1.1255088099999999</v>
      </c>
      <c r="AF24" s="178"/>
      <c r="AG24" s="178">
        <f t="shared" si="6"/>
        <v>1.1592740742999998</v>
      </c>
      <c r="AH24" s="178"/>
      <c r="AI24" s="178">
        <f t="shared" si="7"/>
        <v>1.1940522965289999</v>
      </c>
      <c r="AJ24" s="178"/>
      <c r="AK24" s="178">
        <f t="shared" si="8"/>
        <v>1.22987386542487</v>
      </c>
      <c r="AL24" s="178"/>
      <c r="AM24" s="178">
        <f t="shared" si="9"/>
        <v>1.2667700813876159</v>
      </c>
      <c r="AN24" s="178"/>
      <c r="AO24" s="178">
        <f t="shared" si="10"/>
        <v>1.3047731838292445</v>
      </c>
      <c r="AP24" s="178"/>
      <c r="AQ24" s="178">
        <f t="shared" si="11"/>
        <v>1.3439163793441218</v>
      </c>
      <c r="AR24" s="178"/>
      <c r="AS24" s="178">
        <f t="shared" si="12"/>
        <v>1.3842338707244455</v>
      </c>
      <c r="AT24" s="178"/>
      <c r="AU24" s="178">
        <f t="shared" si="13"/>
        <v>1.4257608868461786</v>
      </c>
      <c r="AV24" s="178"/>
      <c r="AW24" s="178">
        <f t="shared" si="14"/>
        <v>1.4685337134515639</v>
      </c>
      <c r="AX24" s="178"/>
      <c r="AY24" s="178">
        <f t="shared" si="15"/>
        <v>1.512589724855111</v>
      </c>
      <c r="BJ24" s="221"/>
      <c r="BK24" s="221"/>
      <c r="BL24" s="221"/>
      <c r="BM24" s="221"/>
      <c r="BN24" s="221"/>
      <c r="BO24" s="221"/>
      <c r="BP24" s="221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167"/>
      <c r="CC24" s="167"/>
      <c r="CD24" s="167"/>
      <c r="CE24" s="167"/>
    </row>
    <row r="25" spans="1:83" ht="23.25" customHeight="1" x14ac:dyDescent="0.35">
      <c r="A25" s="135">
        <f t="shared" si="19"/>
        <v>52</v>
      </c>
      <c r="C25" s="178">
        <v>1</v>
      </c>
      <c r="E25" s="135" t="s">
        <v>45</v>
      </c>
      <c r="G25" s="136" t="s">
        <v>45</v>
      </c>
      <c r="I25" s="135" t="s">
        <v>45</v>
      </c>
      <c r="K25" s="135" t="s">
        <v>45</v>
      </c>
      <c r="M25" s="135">
        <v>1</v>
      </c>
      <c r="N25" s="238">
        <f t="shared" si="22"/>
        <v>2023</v>
      </c>
      <c r="O25" s="135">
        <v>1</v>
      </c>
      <c r="Q25" s="176">
        <v>1</v>
      </c>
      <c r="R25" s="177"/>
      <c r="S25" s="178">
        <f t="shared" si="17"/>
        <v>1</v>
      </c>
      <c r="T25" s="178"/>
      <c r="U25" s="179">
        <f t="shared" si="18"/>
        <v>47.575415706322005</v>
      </c>
      <c r="V25" s="138"/>
      <c r="W25" s="178">
        <f t="shared" si="20"/>
        <v>1</v>
      </c>
      <c r="X25" s="178"/>
      <c r="Y25" s="178">
        <f t="shared" si="21"/>
        <v>1.03</v>
      </c>
      <c r="Z25" s="178"/>
      <c r="AA25" s="178">
        <f t="shared" si="3"/>
        <v>1.0609</v>
      </c>
      <c r="AB25" s="178"/>
      <c r="AC25" s="178">
        <f t="shared" si="4"/>
        <v>1.092727</v>
      </c>
      <c r="AD25" s="178"/>
      <c r="AE25" s="178">
        <f t="shared" si="5"/>
        <v>1.1255088099999999</v>
      </c>
      <c r="AF25" s="178"/>
      <c r="AG25" s="178">
        <f t="shared" si="6"/>
        <v>1.1592740742999998</v>
      </c>
      <c r="AH25" s="178"/>
      <c r="AI25" s="178">
        <f t="shared" si="7"/>
        <v>1.1940522965289999</v>
      </c>
      <c r="AJ25" s="178"/>
      <c r="AK25" s="178">
        <f t="shared" si="8"/>
        <v>1.22987386542487</v>
      </c>
      <c r="AL25" s="178"/>
      <c r="AM25" s="178">
        <f t="shared" si="9"/>
        <v>1.2667700813876159</v>
      </c>
      <c r="AN25" s="178"/>
      <c r="AO25" s="178">
        <f t="shared" si="10"/>
        <v>1.3047731838292445</v>
      </c>
      <c r="AP25" s="178"/>
      <c r="AQ25" s="178">
        <f t="shared" si="11"/>
        <v>1.3439163793441218</v>
      </c>
      <c r="AR25" s="178"/>
      <c r="AS25" s="178">
        <f t="shared" si="12"/>
        <v>1.3842338707244455</v>
      </c>
      <c r="AT25" s="178"/>
      <c r="AU25" s="178">
        <f t="shared" si="13"/>
        <v>1.4257608868461786</v>
      </c>
      <c r="AV25" s="178"/>
      <c r="AW25" s="178">
        <f t="shared" si="14"/>
        <v>1.4685337134515639</v>
      </c>
      <c r="AX25" s="178"/>
      <c r="AY25" s="178">
        <f t="shared" si="15"/>
        <v>1.512589724855111</v>
      </c>
      <c r="BJ25" s="221"/>
      <c r="BK25" s="221"/>
      <c r="BL25" s="221"/>
      <c r="BM25" s="221"/>
      <c r="BN25" s="221"/>
      <c r="BO25" s="221"/>
      <c r="BP25" s="221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167"/>
      <c r="CC25" s="167"/>
      <c r="CD25" s="167"/>
      <c r="CE25" s="167"/>
    </row>
    <row r="26" spans="1:83" ht="23.25" customHeight="1" x14ac:dyDescent="0.35">
      <c r="A26" s="168">
        <f t="shared" si="19"/>
        <v>53</v>
      </c>
      <c r="B26" s="169"/>
      <c r="C26" s="174">
        <v>1</v>
      </c>
      <c r="D26" s="171"/>
      <c r="E26" s="168" t="s">
        <v>45</v>
      </c>
      <c r="F26" s="169"/>
      <c r="G26" s="169" t="s">
        <v>45</v>
      </c>
      <c r="H26" s="169"/>
      <c r="I26" s="168" t="s">
        <v>45</v>
      </c>
      <c r="J26" s="169"/>
      <c r="K26" s="168" t="s">
        <v>45</v>
      </c>
      <c r="L26" s="169"/>
      <c r="M26" s="168">
        <v>1</v>
      </c>
      <c r="N26" s="237">
        <f t="shared" si="22"/>
        <v>2023</v>
      </c>
      <c r="O26" s="168">
        <v>1</v>
      </c>
      <c r="P26" s="169"/>
      <c r="Q26" s="172">
        <v>1</v>
      </c>
      <c r="R26" s="173"/>
      <c r="S26" s="174">
        <f t="shared" si="17"/>
        <v>1</v>
      </c>
      <c r="T26" s="174"/>
      <c r="U26" s="175">
        <f t="shared" si="18"/>
        <v>47.575415706322005</v>
      </c>
      <c r="V26" s="171"/>
      <c r="W26" s="174">
        <f t="shared" si="20"/>
        <v>1</v>
      </c>
      <c r="X26" s="174"/>
      <c r="Y26" s="174">
        <f t="shared" si="21"/>
        <v>1.03</v>
      </c>
      <c r="Z26" s="174"/>
      <c r="AA26" s="174">
        <f t="shared" si="3"/>
        <v>1.0609</v>
      </c>
      <c r="AB26" s="174"/>
      <c r="AC26" s="174">
        <f t="shared" si="4"/>
        <v>1.092727</v>
      </c>
      <c r="AD26" s="174"/>
      <c r="AE26" s="174">
        <f t="shared" si="5"/>
        <v>1.1255088099999999</v>
      </c>
      <c r="AF26" s="174"/>
      <c r="AG26" s="174">
        <f t="shared" si="6"/>
        <v>1.1592740742999998</v>
      </c>
      <c r="AH26" s="174"/>
      <c r="AI26" s="174">
        <f t="shared" si="7"/>
        <v>1.1940522965289999</v>
      </c>
      <c r="AJ26" s="174"/>
      <c r="AK26" s="174">
        <f t="shared" si="8"/>
        <v>1.22987386542487</v>
      </c>
      <c r="AL26" s="174"/>
      <c r="AM26" s="174">
        <f t="shared" si="9"/>
        <v>1.2667700813876159</v>
      </c>
      <c r="AN26" s="174"/>
      <c r="AO26" s="174">
        <f t="shared" si="10"/>
        <v>1.3047731838292445</v>
      </c>
      <c r="AP26" s="174"/>
      <c r="AQ26" s="174">
        <f t="shared" si="11"/>
        <v>1.3439163793441218</v>
      </c>
      <c r="AR26" s="174"/>
      <c r="AS26" s="174">
        <f t="shared" si="12"/>
        <v>1.3842338707244455</v>
      </c>
      <c r="AT26" s="174"/>
      <c r="AU26" s="174">
        <f t="shared" si="13"/>
        <v>1.4257608868461786</v>
      </c>
      <c r="AV26" s="174"/>
      <c r="AW26" s="174">
        <f t="shared" si="14"/>
        <v>1.4685337134515639</v>
      </c>
      <c r="AX26" s="174"/>
      <c r="AY26" s="174">
        <f t="shared" si="15"/>
        <v>1.512589724855111</v>
      </c>
      <c r="BJ26" s="221"/>
      <c r="BK26" s="221"/>
      <c r="BL26" s="221"/>
      <c r="BM26" s="221"/>
      <c r="BN26" s="221"/>
      <c r="BO26" s="221"/>
      <c r="BP26" s="221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167"/>
      <c r="CC26" s="167"/>
      <c r="CD26" s="167"/>
      <c r="CE26" s="167"/>
    </row>
    <row r="27" spans="1:83" ht="23.25" customHeight="1" x14ac:dyDescent="0.35">
      <c r="A27" s="168">
        <f t="shared" si="19"/>
        <v>54</v>
      </c>
      <c r="B27" s="169"/>
      <c r="C27" s="174">
        <v>1</v>
      </c>
      <c r="D27" s="171"/>
      <c r="E27" s="168" t="s">
        <v>45</v>
      </c>
      <c r="F27" s="169"/>
      <c r="G27" s="187" t="s">
        <v>45</v>
      </c>
      <c r="H27" s="169"/>
      <c r="I27" s="168" t="s">
        <v>45</v>
      </c>
      <c r="J27" s="169"/>
      <c r="K27" s="168" t="s">
        <v>45</v>
      </c>
      <c r="L27" s="169"/>
      <c r="M27" s="168">
        <v>1</v>
      </c>
      <c r="N27" s="237">
        <f t="shared" si="22"/>
        <v>2023</v>
      </c>
      <c r="O27" s="168">
        <v>1</v>
      </c>
      <c r="P27" s="169"/>
      <c r="Q27" s="172">
        <v>1</v>
      </c>
      <c r="R27" s="173"/>
      <c r="S27" s="174">
        <f t="shared" si="17"/>
        <v>1</v>
      </c>
      <c r="T27" s="174"/>
      <c r="U27" s="175">
        <f t="shared" si="18"/>
        <v>47.575415706322005</v>
      </c>
      <c r="V27" s="171"/>
      <c r="W27" s="174">
        <f t="shared" si="20"/>
        <v>1</v>
      </c>
      <c r="X27" s="174"/>
      <c r="Y27" s="174">
        <f t="shared" si="21"/>
        <v>1.03</v>
      </c>
      <c r="Z27" s="174"/>
      <c r="AA27" s="174">
        <f t="shared" si="3"/>
        <v>1.0609</v>
      </c>
      <c r="AB27" s="174"/>
      <c r="AC27" s="174">
        <f t="shared" si="4"/>
        <v>1.092727</v>
      </c>
      <c r="AD27" s="174"/>
      <c r="AE27" s="174">
        <f t="shared" si="5"/>
        <v>1.1255088099999999</v>
      </c>
      <c r="AF27" s="174"/>
      <c r="AG27" s="174">
        <f t="shared" si="6"/>
        <v>1.1592740742999998</v>
      </c>
      <c r="AH27" s="174"/>
      <c r="AI27" s="174">
        <f t="shared" si="7"/>
        <v>1.1940522965289999</v>
      </c>
      <c r="AJ27" s="174"/>
      <c r="AK27" s="174">
        <f t="shared" si="8"/>
        <v>1.22987386542487</v>
      </c>
      <c r="AL27" s="174"/>
      <c r="AM27" s="174">
        <f t="shared" si="9"/>
        <v>1.2667700813876159</v>
      </c>
      <c r="AN27" s="174"/>
      <c r="AO27" s="174">
        <f t="shared" si="10"/>
        <v>1.3047731838292445</v>
      </c>
      <c r="AP27" s="174"/>
      <c r="AQ27" s="174">
        <f t="shared" si="11"/>
        <v>1.3439163793441218</v>
      </c>
      <c r="AR27" s="174"/>
      <c r="AS27" s="174">
        <f t="shared" si="12"/>
        <v>1.3842338707244455</v>
      </c>
      <c r="AT27" s="174"/>
      <c r="AU27" s="174">
        <f t="shared" si="13"/>
        <v>1.4257608868461786</v>
      </c>
      <c r="AV27" s="174"/>
      <c r="AW27" s="174">
        <f t="shared" si="14"/>
        <v>1.4685337134515639</v>
      </c>
      <c r="AX27" s="174"/>
      <c r="AY27" s="174">
        <f t="shared" si="15"/>
        <v>1.512589724855111</v>
      </c>
      <c r="BJ27" s="221"/>
      <c r="BK27" s="221"/>
      <c r="BL27" s="221"/>
      <c r="BM27" s="221"/>
      <c r="BN27" s="221"/>
      <c r="BO27" s="221"/>
      <c r="BP27" s="221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167"/>
      <c r="CC27" s="167"/>
      <c r="CD27" s="167"/>
      <c r="CE27" s="167"/>
    </row>
    <row r="28" spans="1:83" ht="23.25" customHeight="1" x14ac:dyDescent="0.35">
      <c r="A28" s="168">
        <f t="shared" si="19"/>
        <v>55</v>
      </c>
      <c r="B28" s="169"/>
      <c r="C28" s="174">
        <v>1</v>
      </c>
      <c r="D28" s="171"/>
      <c r="E28" s="168" t="s">
        <v>45</v>
      </c>
      <c r="F28" s="169"/>
      <c r="G28" s="187" t="s">
        <v>45</v>
      </c>
      <c r="H28" s="169"/>
      <c r="I28" s="168" t="s">
        <v>45</v>
      </c>
      <c r="J28" s="169"/>
      <c r="K28" s="168" t="s">
        <v>45</v>
      </c>
      <c r="L28" s="169"/>
      <c r="M28" s="168">
        <v>1</v>
      </c>
      <c r="N28" s="237">
        <f t="shared" si="22"/>
        <v>2023</v>
      </c>
      <c r="O28" s="168">
        <v>1</v>
      </c>
      <c r="P28" s="169"/>
      <c r="Q28" s="172">
        <v>1</v>
      </c>
      <c r="R28" s="173"/>
      <c r="S28" s="174">
        <f t="shared" si="17"/>
        <v>1</v>
      </c>
      <c r="T28" s="174"/>
      <c r="U28" s="175">
        <f t="shared" si="18"/>
        <v>47.575415706322005</v>
      </c>
      <c r="V28" s="171"/>
      <c r="W28" s="174">
        <f t="shared" si="20"/>
        <v>1</v>
      </c>
      <c r="X28" s="174"/>
      <c r="Y28" s="174">
        <f t="shared" si="21"/>
        <v>1.03</v>
      </c>
      <c r="Z28" s="174"/>
      <c r="AA28" s="174">
        <f t="shared" si="3"/>
        <v>1.0609</v>
      </c>
      <c r="AB28" s="174"/>
      <c r="AC28" s="174">
        <f t="shared" si="4"/>
        <v>1.092727</v>
      </c>
      <c r="AD28" s="174"/>
      <c r="AE28" s="174">
        <f t="shared" si="5"/>
        <v>1.1255088099999999</v>
      </c>
      <c r="AF28" s="174"/>
      <c r="AG28" s="174">
        <f t="shared" si="6"/>
        <v>1.1592740742999998</v>
      </c>
      <c r="AH28" s="174"/>
      <c r="AI28" s="174">
        <f t="shared" si="7"/>
        <v>1.1940522965289999</v>
      </c>
      <c r="AJ28" s="174"/>
      <c r="AK28" s="174">
        <f t="shared" si="8"/>
        <v>1.22987386542487</v>
      </c>
      <c r="AL28" s="174"/>
      <c r="AM28" s="174">
        <f t="shared" si="9"/>
        <v>1.2667700813876159</v>
      </c>
      <c r="AN28" s="174"/>
      <c r="AO28" s="174">
        <f t="shared" si="10"/>
        <v>1.3047731838292445</v>
      </c>
      <c r="AP28" s="174"/>
      <c r="AQ28" s="174">
        <f t="shared" si="11"/>
        <v>1.3439163793441218</v>
      </c>
      <c r="AR28" s="174"/>
      <c r="AS28" s="174">
        <f t="shared" si="12"/>
        <v>1.3842338707244455</v>
      </c>
      <c r="AT28" s="174"/>
      <c r="AU28" s="174">
        <f t="shared" si="13"/>
        <v>1.4257608868461786</v>
      </c>
      <c r="AV28" s="174"/>
      <c r="AW28" s="174">
        <f t="shared" si="14"/>
        <v>1.4685337134515639</v>
      </c>
      <c r="AX28" s="174"/>
      <c r="AY28" s="174">
        <f t="shared" si="15"/>
        <v>1.512589724855111</v>
      </c>
      <c r="BJ28" s="221"/>
      <c r="BK28" s="221"/>
      <c r="BL28" s="221"/>
      <c r="BM28" s="221"/>
      <c r="BN28" s="221"/>
      <c r="BO28" s="221"/>
      <c r="BP28" s="221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167"/>
      <c r="CC28" s="167"/>
      <c r="CD28" s="167"/>
      <c r="CE28" s="167"/>
    </row>
    <row r="29" spans="1:83" s="151" customFormat="1" ht="23.25" customHeight="1" x14ac:dyDescent="0.35">
      <c r="A29" s="135">
        <f t="shared" si="19"/>
        <v>56</v>
      </c>
      <c r="B29" s="136"/>
      <c r="C29" s="178">
        <v>1</v>
      </c>
      <c r="D29" s="138"/>
      <c r="E29" s="135" t="s">
        <v>45</v>
      </c>
      <c r="F29" s="136"/>
      <c r="G29" s="136" t="s">
        <v>45</v>
      </c>
      <c r="H29" s="136"/>
      <c r="I29" s="135" t="s">
        <v>45</v>
      </c>
      <c r="J29" s="136"/>
      <c r="K29" s="135" t="s">
        <v>45</v>
      </c>
      <c r="L29" s="136"/>
      <c r="M29" s="135">
        <v>1</v>
      </c>
      <c r="N29" s="238">
        <f t="shared" si="22"/>
        <v>2023</v>
      </c>
      <c r="O29" s="135">
        <v>1</v>
      </c>
      <c r="P29" s="136"/>
      <c r="Q29" s="176">
        <v>1</v>
      </c>
      <c r="R29" s="177"/>
      <c r="S29" s="178">
        <f t="shared" si="17"/>
        <v>1</v>
      </c>
      <c r="T29" s="178"/>
      <c r="U29" s="179">
        <f t="shared" si="18"/>
        <v>47.575415706322005</v>
      </c>
      <c r="V29" s="138"/>
      <c r="W29" s="178">
        <f t="shared" si="20"/>
        <v>1</v>
      </c>
      <c r="X29" s="178"/>
      <c r="Y29" s="178">
        <f t="shared" si="21"/>
        <v>1.03</v>
      </c>
      <c r="Z29" s="178"/>
      <c r="AA29" s="178">
        <f t="shared" si="3"/>
        <v>1.0609</v>
      </c>
      <c r="AB29" s="178"/>
      <c r="AC29" s="178">
        <f t="shared" si="4"/>
        <v>1.092727</v>
      </c>
      <c r="AD29" s="178"/>
      <c r="AE29" s="178">
        <f t="shared" si="5"/>
        <v>1.1255088099999999</v>
      </c>
      <c r="AF29" s="178"/>
      <c r="AG29" s="178">
        <f t="shared" si="6"/>
        <v>1.1592740742999998</v>
      </c>
      <c r="AH29" s="178"/>
      <c r="AI29" s="178">
        <f t="shared" si="7"/>
        <v>1.1940522965289999</v>
      </c>
      <c r="AJ29" s="178"/>
      <c r="AK29" s="178">
        <f t="shared" si="8"/>
        <v>1.22987386542487</v>
      </c>
      <c r="AL29" s="178"/>
      <c r="AM29" s="178">
        <f t="shared" si="9"/>
        <v>1.2667700813876159</v>
      </c>
      <c r="AN29" s="178"/>
      <c r="AO29" s="178">
        <f t="shared" si="10"/>
        <v>1.3047731838292445</v>
      </c>
      <c r="AP29" s="178"/>
      <c r="AQ29" s="178">
        <f t="shared" si="11"/>
        <v>1.3439163793441218</v>
      </c>
      <c r="AR29" s="178"/>
      <c r="AS29" s="178">
        <f t="shared" si="12"/>
        <v>1.3842338707244455</v>
      </c>
      <c r="AT29" s="178"/>
      <c r="AU29" s="178">
        <f t="shared" si="13"/>
        <v>1.4257608868461786</v>
      </c>
      <c r="AV29" s="178"/>
      <c r="AW29" s="178">
        <f t="shared" si="14"/>
        <v>1.4685337134515639</v>
      </c>
      <c r="AX29" s="178"/>
      <c r="AY29" s="178">
        <f t="shared" si="15"/>
        <v>1.512589724855111</v>
      </c>
      <c r="AZ29" s="136"/>
      <c r="BA29" s="136"/>
      <c r="BJ29" s="221"/>
      <c r="BK29" s="221"/>
      <c r="BL29" s="221"/>
      <c r="BM29" s="221"/>
      <c r="BN29" s="221"/>
      <c r="BO29" s="221"/>
      <c r="BP29" s="221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</row>
    <row r="30" spans="1:83" s="151" customFormat="1" ht="23.25" customHeight="1" x14ac:dyDescent="0.35">
      <c r="A30" s="135">
        <f t="shared" si="19"/>
        <v>57</v>
      </c>
      <c r="B30" s="136"/>
      <c r="C30" s="178">
        <v>1</v>
      </c>
      <c r="D30" s="138"/>
      <c r="E30" s="137" t="s">
        <v>45</v>
      </c>
      <c r="F30" s="137"/>
      <c r="G30" s="188" t="s">
        <v>45</v>
      </c>
      <c r="H30" s="136"/>
      <c r="I30" s="135" t="s">
        <v>45</v>
      </c>
      <c r="J30" s="136"/>
      <c r="K30" s="135" t="s">
        <v>45</v>
      </c>
      <c r="L30" s="136"/>
      <c r="M30" s="135">
        <v>1</v>
      </c>
      <c r="N30" s="238">
        <f t="shared" si="22"/>
        <v>2023</v>
      </c>
      <c r="O30" s="135">
        <v>1</v>
      </c>
      <c r="P30" s="136"/>
      <c r="Q30" s="176">
        <v>1</v>
      </c>
      <c r="R30" s="177"/>
      <c r="S30" s="178">
        <f t="shared" si="17"/>
        <v>1</v>
      </c>
      <c r="T30" s="178"/>
      <c r="U30" s="179">
        <f t="shared" si="18"/>
        <v>47.575415706322005</v>
      </c>
      <c r="V30" s="138"/>
      <c r="W30" s="178">
        <f t="shared" si="20"/>
        <v>1</v>
      </c>
      <c r="X30" s="178"/>
      <c r="Y30" s="178">
        <f>FV($U$6,W$9,,-$S30,0)</f>
        <v>1.03</v>
      </c>
      <c r="Z30" s="178"/>
      <c r="AA30" s="178">
        <f t="shared" si="3"/>
        <v>1.0609</v>
      </c>
      <c r="AB30" s="178"/>
      <c r="AC30" s="178">
        <f t="shared" si="4"/>
        <v>1.092727</v>
      </c>
      <c r="AD30" s="178"/>
      <c r="AE30" s="178">
        <f t="shared" si="5"/>
        <v>1.1255088099999999</v>
      </c>
      <c r="AF30" s="178"/>
      <c r="AG30" s="178">
        <f t="shared" si="6"/>
        <v>1.1592740742999998</v>
      </c>
      <c r="AH30" s="178"/>
      <c r="AI30" s="178">
        <f t="shared" si="7"/>
        <v>1.1940522965289999</v>
      </c>
      <c r="AJ30" s="178"/>
      <c r="AK30" s="178">
        <f t="shared" si="8"/>
        <v>1.22987386542487</v>
      </c>
      <c r="AL30" s="178"/>
      <c r="AM30" s="178">
        <f t="shared" si="9"/>
        <v>1.2667700813876159</v>
      </c>
      <c r="AN30" s="178"/>
      <c r="AO30" s="178">
        <f t="shared" si="10"/>
        <v>1.3047731838292445</v>
      </c>
      <c r="AP30" s="178"/>
      <c r="AQ30" s="178">
        <f t="shared" si="11"/>
        <v>1.3439163793441218</v>
      </c>
      <c r="AR30" s="178"/>
      <c r="AS30" s="178">
        <f t="shared" si="12"/>
        <v>1.3842338707244455</v>
      </c>
      <c r="AT30" s="178"/>
      <c r="AU30" s="178">
        <f t="shared" si="13"/>
        <v>1.4257608868461786</v>
      </c>
      <c r="AV30" s="178"/>
      <c r="AW30" s="178">
        <f t="shared" si="14"/>
        <v>1.4685337134515639</v>
      </c>
      <c r="AX30" s="178"/>
      <c r="AY30" s="178">
        <f t="shared" si="15"/>
        <v>1.512589724855111</v>
      </c>
      <c r="AZ30" s="136"/>
      <c r="BA30" s="136"/>
      <c r="BJ30" s="221"/>
      <c r="BK30" s="221"/>
      <c r="BL30" s="221"/>
      <c r="BM30" s="221"/>
      <c r="BN30" s="221"/>
      <c r="BO30" s="221"/>
      <c r="BP30" s="221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</row>
    <row r="31" spans="1:83" s="151" customFormat="1" ht="23.25" customHeight="1" x14ac:dyDescent="0.35">
      <c r="A31" s="135">
        <f t="shared" si="19"/>
        <v>58</v>
      </c>
      <c r="B31" s="136"/>
      <c r="C31" s="178">
        <v>1</v>
      </c>
      <c r="D31" s="138"/>
      <c r="E31" s="135" t="s">
        <v>45</v>
      </c>
      <c r="F31" s="136"/>
      <c r="G31" s="136" t="s">
        <v>45</v>
      </c>
      <c r="H31" s="136"/>
      <c r="I31" s="135" t="s">
        <v>45</v>
      </c>
      <c r="J31" s="136"/>
      <c r="K31" s="135" t="s">
        <v>45</v>
      </c>
      <c r="L31" s="136"/>
      <c r="M31" s="135">
        <v>1</v>
      </c>
      <c r="N31" s="238">
        <f t="shared" si="22"/>
        <v>2023</v>
      </c>
      <c r="O31" s="135">
        <v>1</v>
      </c>
      <c r="P31" s="136"/>
      <c r="Q31" s="176">
        <v>1</v>
      </c>
      <c r="R31" s="177"/>
      <c r="S31" s="178">
        <f t="shared" si="17"/>
        <v>1</v>
      </c>
      <c r="T31" s="178"/>
      <c r="U31" s="179">
        <f t="shared" si="18"/>
        <v>47.575415706322005</v>
      </c>
      <c r="V31" s="138"/>
      <c r="W31" s="178">
        <f t="shared" si="20"/>
        <v>1</v>
      </c>
      <c r="X31" s="178"/>
      <c r="Y31" s="178">
        <f t="shared" si="21"/>
        <v>1.03</v>
      </c>
      <c r="Z31" s="178"/>
      <c r="AA31" s="178">
        <f t="shared" si="3"/>
        <v>1.0609</v>
      </c>
      <c r="AB31" s="178"/>
      <c r="AC31" s="178">
        <f t="shared" si="4"/>
        <v>1.092727</v>
      </c>
      <c r="AD31" s="178"/>
      <c r="AE31" s="178">
        <f t="shared" si="5"/>
        <v>1.1255088099999999</v>
      </c>
      <c r="AF31" s="178"/>
      <c r="AG31" s="178">
        <f t="shared" si="6"/>
        <v>1.1592740742999998</v>
      </c>
      <c r="AH31" s="178"/>
      <c r="AI31" s="178">
        <f t="shared" si="7"/>
        <v>1.1940522965289999</v>
      </c>
      <c r="AJ31" s="178"/>
      <c r="AK31" s="178">
        <f t="shared" si="8"/>
        <v>1.22987386542487</v>
      </c>
      <c r="AL31" s="178"/>
      <c r="AM31" s="178">
        <f t="shared" si="9"/>
        <v>1.2667700813876159</v>
      </c>
      <c r="AN31" s="178"/>
      <c r="AO31" s="178">
        <f t="shared" si="10"/>
        <v>1.3047731838292445</v>
      </c>
      <c r="AP31" s="178"/>
      <c r="AQ31" s="178">
        <f t="shared" si="11"/>
        <v>1.3439163793441218</v>
      </c>
      <c r="AR31" s="178"/>
      <c r="AS31" s="178">
        <f t="shared" si="12"/>
        <v>1.3842338707244455</v>
      </c>
      <c r="AT31" s="178"/>
      <c r="AU31" s="178">
        <f t="shared" si="13"/>
        <v>1.4257608868461786</v>
      </c>
      <c r="AV31" s="178"/>
      <c r="AW31" s="178">
        <f t="shared" si="14"/>
        <v>1.4685337134515639</v>
      </c>
      <c r="AX31" s="178"/>
      <c r="AY31" s="178">
        <f t="shared" si="15"/>
        <v>1.512589724855111</v>
      </c>
      <c r="AZ31" s="136"/>
      <c r="BA31" s="136"/>
      <c r="BJ31" s="221"/>
      <c r="BK31" s="221"/>
      <c r="BL31" s="221"/>
      <c r="BM31" s="221"/>
      <c r="BN31" s="221"/>
      <c r="BO31" s="221"/>
      <c r="BP31" s="221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</row>
    <row r="32" spans="1:83" s="151" customFormat="1" ht="23.25" customHeight="1" x14ac:dyDescent="0.35">
      <c r="A32" s="168">
        <f t="shared" si="19"/>
        <v>59</v>
      </c>
      <c r="B32" s="169"/>
      <c r="C32" s="174">
        <v>1</v>
      </c>
      <c r="D32" s="171"/>
      <c r="E32" s="168" t="s">
        <v>45</v>
      </c>
      <c r="F32" s="169"/>
      <c r="G32" s="169" t="s">
        <v>45</v>
      </c>
      <c r="H32" s="169"/>
      <c r="I32" s="168" t="s">
        <v>45</v>
      </c>
      <c r="J32" s="169"/>
      <c r="K32" s="168" t="s">
        <v>45</v>
      </c>
      <c r="L32" s="169"/>
      <c r="M32" s="168">
        <v>1</v>
      </c>
      <c r="N32" s="237">
        <f t="shared" si="22"/>
        <v>2023</v>
      </c>
      <c r="O32" s="168">
        <v>1</v>
      </c>
      <c r="P32" s="169"/>
      <c r="Q32" s="172">
        <v>1</v>
      </c>
      <c r="R32" s="173"/>
      <c r="S32" s="174">
        <f t="shared" si="17"/>
        <v>1</v>
      </c>
      <c r="T32" s="174"/>
      <c r="U32" s="175">
        <f t="shared" si="18"/>
        <v>47.575415706322005</v>
      </c>
      <c r="V32" s="171"/>
      <c r="W32" s="174">
        <f t="shared" si="20"/>
        <v>1</v>
      </c>
      <c r="X32" s="174"/>
      <c r="Y32" s="174">
        <f t="shared" si="21"/>
        <v>1.03</v>
      </c>
      <c r="Z32" s="174"/>
      <c r="AA32" s="174">
        <f t="shared" si="3"/>
        <v>1.0609</v>
      </c>
      <c r="AB32" s="174"/>
      <c r="AC32" s="174">
        <f t="shared" si="4"/>
        <v>1.092727</v>
      </c>
      <c r="AD32" s="174"/>
      <c r="AE32" s="174">
        <f t="shared" si="5"/>
        <v>1.1255088099999999</v>
      </c>
      <c r="AF32" s="174"/>
      <c r="AG32" s="174">
        <f t="shared" si="6"/>
        <v>1.1592740742999998</v>
      </c>
      <c r="AH32" s="174"/>
      <c r="AI32" s="174">
        <f t="shared" si="7"/>
        <v>1.1940522965289999</v>
      </c>
      <c r="AJ32" s="174"/>
      <c r="AK32" s="174">
        <f t="shared" si="8"/>
        <v>1.22987386542487</v>
      </c>
      <c r="AL32" s="174"/>
      <c r="AM32" s="174">
        <f t="shared" si="9"/>
        <v>1.2667700813876159</v>
      </c>
      <c r="AN32" s="174"/>
      <c r="AO32" s="174">
        <f t="shared" si="10"/>
        <v>1.3047731838292445</v>
      </c>
      <c r="AP32" s="174"/>
      <c r="AQ32" s="174">
        <f t="shared" si="11"/>
        <v>1.3439163793441218</v>
      </c>
      <c r="AR32" s="174"/>
      <c r="AS32" s="174">
        <f t="shared" si="12"/>
        <v>1.3842338707244455</v>
      </c>
      <c r="AT32" s="174"/>
      <c r="AU32" s="174">
        <f t="shared" si="13"/>
        <v>1.4257608868461786</v>
      </c>
      <c r="AV32" s="174"/>
      <c r="AW32" s="174">
        <f t="shared" si="14"/>
        <v>1.4685337134515639</v>
      </c>
      <c r="AX32" s="174"/>
      <c r="AY32" s="174">
        <f t="shared" si="15"/>
        <v>1.512589724855111</v>
      </c>
      <c r="AZ32" s="136"/>
      <c r="BA32" s="136"/>
      <c r="BJ32" s="221"/>
      <c r="BK32" s="221"/>
      <c r="BL32" s="221"/>
      <c r="BM32" s="221"/>
      <c r="BN32" s="221"/>
      <c r="BO32" s="221"/>
      <c r="BP32" s="221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</row>
    <row r="33" spans="1:83" s="151" customFormat="1" ht="23.25" customHeight="1" x14ac:dyDescent="0.35">
      <c r="A33" s="168">
        <f t="shared" si="19"/>
        <v>60</v>
      </c>
      <c r="B33" s="169"/>
      <c r="C33" s="174">
        <v>1</v>
      </c>
      <c r="D33" s="171"/>
      <c r="E33" s="168" t="s">
        <v>45</v>
      </c>
      <c r="F33" s="169"/>
      <c r="G33" s="169" t="s">
        <v>45</v>
      </c>
      <c r="H33" s="169"/>
      <c r="I33" s="168" t="s">
        <v>45</v>
      </c>
      <c r="J33" s="169"/>
      <c r="K33" s="168" t="s">
        <v>45</v>
      </c>
      <c r="L33" s="169"/>
      <c r="M33" s="168">
        <v>1</v>
      </c>
      <c r="N33" s="237">
        <f t="shared" si="22"/>
        <v>2023</v>
      </c>
      <c r="O33" s="168">
        <v>1</v>
      </c>
      <c r="P33" s="169"/>
      <c r="Q33" s="172">
        <v>1</v>
      </c>
      <c r="R33" s="173"/>
      <c r="S33" s="174">
        <f t="shared" si="17"/>
        <v>1</v>
      </c>
      <c r="T33" s="174"/>
      <c r="U33" s="175">
        <f t="shared" si="18"/>
        <v>47.575415706322005</v>
      </c>
      <c r="V33" s="171"/>
      <c r="W33" s="174">
        <f t="shared" si="20"/>
        <v>1</v>
      </c>
      <c r="X33" s="174"/>
      <c r="Y33" s="174">
        <f t="shared" si="21"/>
        <v>1.03</v>
      </c>
      <c r="Z33" s="174"/>
      <c r="AA33" s="174">
        <f t="shared" si="3"/>
        <v>1.0609</v>
      </c>
      <c r="AB33" s="174"/>
      <c r="AC33" s="174">
        <f t="shared" si="4"/>
        <v>1.092727</v>
      </c>
      <c r="AD33" s="174"/>
      <c r="AE33" s="174">
        <f t="shared" si="5"/>
        <v>1.1255088099999999</v>
      </c>
      <c r="AF33" s="174"/>
      <c r="AG33" s="174">
        <f t="shared" si="6"/>
        <v>1.1592740742999998</v>
      </c>
      <c r="AH33" s="174"/>
      <c r="AI33" s="174">
        <f t="shared" si="7"/>
        <v>1.1940522965289999</v>
      </c>
      <c r="AJ33" s="174"/>
      <c r="AK33" s="174">
        <f t="shared" si="8"/>
        <v>1.22987386542487</v>
      </c>
      <c r="AL33" s="174"/>
      <c r="AM33" s="174">
        <f t="shared" si="9"/>
        <v>1.2667700813876159</v>
      </c>
      <c r="AN33" s="174"/>
      <c r="AO33" s="174">
        <f t="shared" si="10"/>
        <v>1.3047731838292445</v>
      </c>
      <c r="AP33" s="174"/>
      <c r="AQ33" s="174">
        <f t="shared" si="11"/>
        <v>1.3439163793441218</v>
      </c>
      <c r="AR33" s="174"/>
      <c r="AS33" s="174">
        <f t="shared" si="12"/>
        <v>1.3842338707244455</v>
      </c>
      <c r="AT33" s="174"/>
      <c r="AU33" s="174">
        <f t="shared" si="13"/>
        <v>1.4257608868461786</v>
      </c>
      <c r="AV33" s="174"/>
      <c r="AW33" s="174">
        <f t="shared" si="14"/>
        <v>1.4685337134515639</v>
      </c>
      <c r="AX33" s="174"/>
      <c r="AY33" s="174">
        <f t="shared" si="15"/>
        <v>1.512589724855111</v>
      </c>
      <c r="AZ33" s="136"/>
      <c r="BA33" s="136"/>
      <c r="BJ33" s="221"/>
      <c r="BK33" s="221"/>
      <c r="BL33" s="221"/>
      <c r="BM33" s="221"/>
      <c r="BN33" s="221"/>
      <c r="BO33" s="221"/>
      <c r="BP33" s="221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</row>
    <row r="34" spans="1:83" ht="23.25" customHeight="1" x14ac:dyDescent="0.35">
      <c r="A34" s="168">
        <f t="shared" si="19"/>
        <v>61</v>
      </c>
      <c r="B34" s="169"/>
      <c r="C34" s="174">
        <v>1</v>
      </c>
      <c r="D34" s="171"/>
      <c r="E34" s="168" t="s">
        <v>45</v>
      </c>
      <c r="F34" s="169"/>
      <c r="G34" s="169" t="s">
        <v>45</v>
      </c>
      <c r="H34" s="169"/>
      <c r="I34" s="168" t="s">
        <v>45</v>
      </c>
      <c r="J34" s="169"/>
      <c r="K34" s="168" t="s">
        <v>45</v>
      </c>
      <c r="L34" s="169"/>
      <c r="M34" s="168">
        <v>1</v>
      </c>
      <c r="N34" s="237">
        <f t="shared" si="22"/>
        <v>2023</v>
      </c>
      <c r="O34" s="168">
        <v>1</v>
      </c>
      <c r="P34" s="169"/>
      <c r="Q34" s="172">
        <v>1</v>
      </c>
      <c r="R34" s="173"/>
      <c r="S34" s="174">
        <f t="shared" si="17"/>
        <v>1</v>
      </c>
      <c r="T34" s="174"/>
      <c r="U34" s="175">
        <f t="shared" si="18"/>
        <v>47.575415706322005</v>
      </c>
      <c r="V34" s="171"/>
      <c r="W34" s="174">
        <f t="shared" si="20"/>
        <v>1</v>
      </c>
      <c r="X34" s="174"/>
      <c r="Y34" s="174">
        <f t="shared" si="21"/>
        <v>1.03</v>
      </c>
      <c r="Z34" s="174"/>
      <c r="AA34" s="174">
        <f t="shared" si="3"/>
        <v>1.0609</v>
      </c>
      <c r="AB34" s="174"/>
      <c r="AC34" s="174">
        <f t="shared" si="4"/>
        <v>1.092727</v>
      </c>
      <c r="AD34" s="174"/>
      <c r="AE34" s="174">
        <f t="shared" si="5"/>
        <v>1.1255088099999999</v>
      </c>
      <c r="AF34" s="174"/>
      <c r="AG34" s="174">
        <f t="shared" si="6"/>
        <v>1.1592740742999998</v>
      </c>
      <c r="AH34" s="174"/>
      <c r="AI34" s="174">
        <f t="shared" si="7"/>
        <v>1.1940522965289999</v>
      </c>
      <c r="AJ34" s="174"/>
      <c r="AK34" s="174">
        <f t="shared" si="8"/>
        <v>1.22987386542487</v>
      </c>
      <c r="AL34" s="174"/>
      <c r="AM34" s="174">
        <f t="shared" si="9"/>
        <v>1.2667700813876159</v>
      </c>
      <c r="AN34" s="174"/>
      <c r="AO34" s="174">
        <f t="shared" si="10"/>
        <v>1.3047731838292445</v>
      </c>
      <c r="AP34" s="174"/>
      <c r="AQ34" s="174">
        <f t="shared" si="11"/>
        <v>1.3439163793441218</v>
      </c>
      <c r="AR34" s="174"/>
      <c r="AS34" s="174">
        <f t="shared" si="12"/>
        <v>1.3842338707244455</v>
      </c>
      <c r="AT34" s="174"/>
      <c r="AU34" s="174">
        <f t="shared" si="13"/>
        <v>1.4257608868461786</v>
      </c>
      <c r="AV34" s="174"/>
      <c r="AW34" s="174">
        <f t="shared" si="14"/>
        <v>1.4685337134515639</v>
      </c>
      <c r="AX34" s="174"/>
      <c r="AY34" s="174">
        <f t="shared" si="15"/>
        <v>1.512589724855111</v>
      </c>
      <c r="BJ34" s="178"/>
      <c r="BK34" s="178"/>
      <c r="BL34" s="178"/>
      <c r="BM34" s="178"/>
      <c r="BN34" s="178"/>
      <c r="BO34" s="178"/>
      <c r="BP34" s="178"/>
      <c r="BQ34" s="178"/>
      <c r="BR34" s="167"/>
      <c r="BS34" s="167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</row>
    <row r="35" spans="1:83" ht="23.25" customHeight="1" x14ac:dyDescent="0.35">
      <c r="A35" s="135">
        <f t="shared" si="19"/>
        <v>62</v>
      </c>
      <c r="C35" s="178">
        <v>1</v>
      </c>
      <c r="E35" s="135" t="s">
        <v>45</v>
      </c>
      <c r="G35" s="136" t="s">
        <v>45</v>
      </c>
      <c r="I35" s="135" t="s">
        <v>45</v>
      </c>
      <c r="K35" s="135" t="s">
        <v>45</v>
      </c>
      <c r="M35" s="135">
        <v>1</v>
      </c>
      <c r="N35" s="238">
        <f t="shared" si="22"/>
        <v>2023</v>
      </c>
      <c r="O35" s="135">
        <v>1</v>
      </c>
      <c r="Q35" s="176">
        <v>1</v>
      </c>
      <c r="R35" s="177"/>
      <c r="S35" s="178">
        <f t="shared" si="17"/>
        <v>1</v>
      </c>
      <c r="T35" s="178"/>
      <c r="U35" s="179">
        <f t="shared" si="18"/>
        <v>47.575415706322005</v>
      </c>
      <c r="V35" s="138"/>
      <c r="W35" s="178">
        <f t="shared" si="20"/>
        <v>1</v>
      </c>
      <c r="X35" s="178"/>
      <c r="Y35" s="178">
        <f t="shared" si="21"/>
        <v>1.03</v>
      </c>
      <c r="Z35" s="178"/>
      <c r="AA35" s="178">
        <f t="shared" si="3"/>
        <v>1.0609</v>
      </c>
      <c r="AB35" s="178"/>
      <c r="AC35" s="178">
        <f t="shared" si="4"/>
        <v>1.092727</v>
      </c>
      <c r="AD35" s="178"/>
      <c r="AE35" s="178">
        <f t="shared" si="5"/>
        <v>1.1255088099999999</v>
      </c>
      <c r="AF35" s="178"/>
      <c r="AG35" s="178">
        <f t="shared" si="6"/>
        <v>1.1592740742999998</v>
      </c>
      <c r="AH35" s="178"/>
      <c r="AI35" s="178">
        <f t="shared" si="7"/>
        <v>1.1940522965289999</v>
      </c>
      <c r="AJ35" s="178"/>
      <c r="AK35" s="178">
        <f t="shared" si="8"/>
        <v>1.22987386542487</v>
      </c>
      <c r="AL35" s="178"/>
      <c r="AM35" s="178">
        <f t="shared" si="9"/>
        <v>1.2667700813876159</v>
      </c>
      <c r="AN35" s="178"/>
      <c r="AO35" s="178">
        <f t="shared" si="10"/>
        <v>1.3047731838292445</v>
      </c>
      <c r="AP35" s="178"/>
      <c r="AQ35" s="178">
        <f t="shared" si="11"/>
        <v>1.3439163793441218</v>
      </c>
      <c r="AR35" s="178"/>
      <c r="AS35" s="178">
        <f t="shared" si="12"/>
        <v>1.3842338707244455</v>
      </c>
      <c r="AT35" s="178"/>
      <c r="AU35" s="178">
        <f t="shared" si="13"/>
        <v>1.4257608868461786</v>
      </c>
      <c r="AV35" s="178"/>
      <c r="AW35" s="178">
        <f t="shared" si="14"/>
        <v>1.4685337134515639</v>
      </c>
      <c r="AX35" s="178"/>
      <c r="AY35" s="178">
        <f t="shared" si="15"/>
        <v>1.512589724855111</v>
      </c>
      <c r="BJ35" s="178"/>
      <c r="BK35" s="178"/>
      <c r="BL35" s="178"/>
      <c r="BM35" s="178"/>
      <c r="BN35" s="178"/>
      <c r="BO35" s="178"/>
      <c r="BP35" s="178"/>
      <c r="BQ35" s="178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</row>
    <row r="36" spans="1:83" ht="24.75" customHeight="1" x14ac:dyDescent="0.35">
      <c r="O36" s="135"/>
      <c r="Q36" s="176"/>
      <c r="R36" s="177"/>
      <c r="S36" s="178"/>
      <c r="T36" s="178"/>
      <c r="U36" s="179"/>
      <c r="V36" s="13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BJ36" s="178"/>
      <c r="BK36" s="178"/>
      <c r="BL36" s="178"/>
      <c r="BM36" s="178"/>
      <c r="BN36" s="178"/>
      <c r="BO36" s="178"/>
      <c r="BP36" s="178"/>
      <c r="BQ36" s="178"/>
      <c r="BR36" s="167"/>
      <c r="BS36" s="167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</row>
    <row r="37" spans="1:83" ht="23.25" customHeight="1" x14ac:dyDescent="0.35">
      <c r="C37" s="137"/>
      <c r="O37" s="136"/>
      <c r="Q37" s="189"/>
      <c r="R37" s="177"/>
      <c r="S37" s="190"/>
      <c r="T37" s="178"/>
      <c r="U37" s="190"/>
      <c r="V37" s="138"/>
      <c r="W37" s="190"/>
      <c r="X37" s="178"/>
      <c r="Y37" s="190"/>
      <c r="Z37" s="178"/>
      <c r="AA37" s="190"/>
      <c r="AB37" s="178"/>
      <c r="AC37" s="190"/>
      <c r="AD37" s="178"/>
      <c r="AE37" s="190"/>
      <c r="AF37" s="178"/>
      <c r="AG37" s="190"/>
      <c r="AH37" s="178"/>
      <c r="AI37" s="190"/>
      <c r="AJ37" s="178"/>
      <c r="AK37" s="190"/>
      <c r="AL37" s="178"/>
      <c r="AM37" s="190"/>
      <c r="AN37" s="178"/>
      <c r="AO37" s="190"/>
      <c r="AP37" s="178"/>
      <c r="AQ37" s="190"/>
      <c r="AR37" s="178"/>
      <c r="AS37" s="190"/>
      <c r="AT37" s="178"/>
      <c r="AU37" s="190"/>
      <c r="AV37" s="178"/>
      <c r="AW37" s="190"/>
      <c r="AX37" s="178"/>
      <c r="AY37" s="190"/>
      <c r="BJ37" s="178"/>
      <c r="BK37" s="178"/>
      <c r="BL37" s="178"/>
      <c r="BM37" s="178"/>
      <c r="BN37" s="178"/>
      <c r="BO37" s="178"/>
      <c r="BP37" s="178"/>
      <c r="BQ37" s="178"/>
      <c r="BR37" s="167"/>
      <c r="BS37" s="167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</row>
    <row r="38" spans="1:83" ht="23.25" customHeight="1" thickBot="1" x14ac:dyDescent="0.4">
      <c r="C38" s="137"/>
      <c r="G38" s="141" t="s">
        <v>7</v>
      </c>
      <c r="Q38" s="178"/>
      <c r="R38" s="178"/>
      <c r="S38" s="191">
        <f>SUM(S14:S35)</f>
        <v>22</v>
      </c>
      <c r="T38" s="178"/>
      <c r="U38" s="191">
        <f>SUM(U14:U35)</f>
        <v>1046.6591455390842</v>
      </c>
      <c r="V38" s="138"/>
      <c r="W38" s="191">
        <f>SUM(W14:W36)</f>
        <v>22</v>
      </c>
      <c r="X38" s="138"/>
      <c r="Y38" s="191">
        <f>SUM(Y14:Y36)</f>
        <v>22.660000000000004</v>
      </c>
      <c r="Z38" s="138"/>
      <c r="AA38" s="191">
        <f>SUM(AA14:AA36)</f>
        <v>23.3398</v>
      </c>
      <c r="AB38" s="138"/>
      <c r="AC38" s="191">
        <f>SUM(AC14:AC36)</f>
        <v>24.039994</v>
      </c>
      <c r="AD38" s="138"/>
      <c r="AE38" s="191">
        <f>SUM(AE14:AE36)</f>
        <v>24.761193819999992</v>
      </c>
      <c r="AF38" s="138"/>
      <c r="AG38" s="191">
        <f>SUM(AG14:AG36)</f>
        <v>25.504029634600009</v>
      </c>
      <c r="AH38" s="138"/>
      <c r="AI38" s="191">
        <f>SUM(AI14:AI36)</f>
        <v>26.269150523638011</v>
      </c>
      <c r="AJ38" s="138"/>
      <c r="AK38" s="191">
        <f>SUM(AK14:AK36)</f>
        <v>27.057225039347152</v>
      </c>
      <c r="AL38" s="138"/>
      <c r="AM38" s="191">
        <f>SUM(AM14:AM36)</f>
        <v>27.86894179052755</v>
      </c>
      <c r="AN38" s="138"/>
      <c r="AO38" s="191">
        <f>SUM(AO14:AO36)</f>
        <v>28.705010044243377</v>
      </c>
      <c r="AP38" s="138"/>
      <c r="AQ38" s="191">
        <f>SUM(AQ14:AQ36)</f>
        <v>29.56616034557069</v>
      </c>
      <c r="AR38" s="138"/>
      <c r="AS38" s="191">
        <f>SUM(AS14:AS36)</f>
        <v>30.453145155937783</v>
      </c>
      <c r="AT38" s="138"/>
      <c r="AU38" s="191">
        <f>SUM(AU14:AU36)</f>
        <v>31.366739510615918</v>
      </c>
      <c r="AV38" s="138"/>
      <c r="AW38" s="191">
        <f>SUM(AW14:AW36)</f>
        <v>32.307741695934403</v>
      </c>
      <c r="AX38" s="138"/>
      <c r="AY38" s="191">
        <f>SUM(AY14:AY36)</f>
        <v>33.27697394681244</v>
      </c>
      <c r="BJ38" s="178"/>
      <c r="BK38" s="178"/>
      <c r="BL38" s="178"/>
      <c r="BM38" s="178"/>
      <c r="BN38" s="178"/>
      <c r="BO38" s="178"/>
      <c r="BP38" s="178"/>
      <c r="BQ38" s="178"/>
      <c r="BR38" s="167"/>
      <c r="BS38" s="167"/>
      <c r="BT38" s="167"/>
      <c r="BU38" s="167"/>
      <c r="BV38" s="167"/>
      <c r="BW38" s="167"/>
      <c r="BX38" s="167"/>
      <c r="BY38" s="167"/>
      <c r="BZ38" s="167"/>
      <c r="CA38" s="167"/>
      <c r="CB38" s="167"/>
      <c r="CC38" s="167"/>
      <c r="CD38" s="167"/>
      <c r="CE38" s="167"/>
    </row>
    <row r="39" spans="1:83" ht="23.25" customHeight="1" thickTop="1" x14ac:dyDescent="0.35">
      <c r="C39" s="137"/>
      <c r="G39" s="141"/>
      <c r="Q39" s="178"/>
      <c r="R39" s="178"/>
      <c r="S39" s="192"/>
      <c r="T39" s="178"/>
      <c r="U39" s="192"/>
      <c r="V39" s="138"/>
      <c r="W39" s="192"/>
      <c r="X39" s="138"/>
      <c r="Y39" s="192"/>
      <c r="Z39" s="138"/>
      <c r="AA39" s="192"/>
      <c r="AB39" s="138"/>
      <c r="AC39" s="192"/>
      <c r="AD39" s="138"/>
      <c r="AE39" s="192"/>
      <c r="AF39" s="138"/>
      <c r="AG39" s="192"/>
      <c r="AH39" s="138"/>
      <c r="AI39" s="192"/>
      <c r="AJ39" s="138"/>
      <c r="AK39" s="192"/>
      <c r="AL39" s="138"/>
      <c r="AM39" s="192"/>
      <c r="AN39" s="138"/>
      <c r="AO39" s="192"/>
      <c r="AP39" s="138"/>
      <c r="AQ39" s="192"/>
      <c r="AR39" s="138"/>
      <c r="AS39" s="192"/>
      <c r="AT39" s="138"/>
      <c r="AU39" s="192"/>
      <c r="AV39" s="138"/>
      <c r="AW39" s="192"/>
      <c r="AX39" s="138"/>
      <c r="AY39" s="192"/>
      <c r="BJ39" s="178"/>
      <c r="BK39" s="178"/>
      <c r="BL39" s="178"/>
      <c r="BM39" s="178"/>
      <c r="BN39" s="178"/>
      <c r="BO39" s="178"/>
      <c r="BP39" s="178"/>
      <c r="BQ39" s="178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</row>
    <row r="40" spans="1:83" ht="23.25" customHeight="1" x14ac:dyDescent="0.35">
      <c r="A40" s="193"/>
      <c r="B40" s="194"/>
      <c r="C40" s="195"/>
      <c r="D40" s="196"/>
      <c r="E40" s="193"/>
      <c r="F40" s="194"/>
      <c r="G40" s="194"/>
      <c r="H40" s="194"/>
      <c r="I40" s="193"/>
      <c r="J40" s="194"/>
      <c r="K40" s="193"/>
      <c r="L40" s="194"/>
      <c r="M40" s="193"/>
      <c r="N40" s="194"/>
      <c r="O40" s="197"/>
      <c r="P40" s="194"/>
      <c r="Q40" s="198"/>
      <c r="R40" s="194"/>
      <c r="S40" s="199"/>
      <c r="T40" s="200"/>
      <c r="U40" s="201"/>
      <c r="V40" s="201"/>
      <c r="W40" s="201"/>
      <c r="X40" s="201"/>
      <c r="Y40" s="201"/>
      <c r="Z40" s="201"/>
      <c r="AA40" s="201"/>
      <c r="AB40" s="201"/>
      <c r="AC40" s="201"/>
      <c r="AD40" s="201"/>
      <c r="AE40" s="201"/>
      <c r="AF40" s="201"/>
      <c r="AG40" s="201"/>
      <c r="AH40" s="201"/>
      <c r="AI40" s="201"/>
      <c r="AJ40" s="201"/>
      <c r="AK40" s="201"/>
      <c r="AL40" s="201"/>
      <c r="AM40" s="201"/>
      <c r="AN40" s="201"/>
      <c r="AO40" s="201"/>
      <c r="AP40" s="201"/>
      <c r="AQ40" s="201"/>
      <c r="AR40" s="201"/>
      <c r="AS40" s="201"/>
      <c r="AT40" s="201"/>
      <c r="AU40" s="201"/>
      <c r="AV40" s="201"/>
      <c r="AW40" s="201"/>
      <c r="AX40" s="201"/>
      <c r="AY40" s="201"/>
    </row>
    <row r="41" spans="1:83" ht="23.25" customHeight="1" x14ac:dyDescent="0.35">
      <c r="A41" s="150"/>
      <c r="B41" s="151"/>
      <c r="C41" s="203"/>
      <c r="D41" s="179"/>
      <c r="E41" s="150"/>
      <c r="F41" s="151"/>
      <c r="G41" s="151"/>
      <c r="H41" s="151"/>
      <c r="I41" s="150"/>
      <c r="J41" s="151"/>
      <c r="K41" s="150"/>
      <c r="L41" s="151"/>
      <c r="M41" s="150"/>
      <c r="N41" s="151"/>
      <c r="O41" s="204"/>
      <c r="P41" s="151"/>
      <c r="Q41" s="205"/>
      <c r="R41" s="151"/>
      <c r="S41" s="206"/>
      <c r="T41" s="206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</row>
    <row r="42" spans="1:83" ht="23.25" customHeight="1" x14ac:dyDescent="0.35">
      <c r="A42" s="283" t="s">
        <v>0</v>
      </c>
      <c r="C42" s="137"/>
      <c r="H42" s="142"/>
      <c r="I42" s="142">
        <v>16</v>
      </c>
      <c r="J42" s="142"/>
      <c r="K42" s="142">
        <v>17</v>
      </c>
      <c r="L42" s="142"/>
      <c r="M42" s="142">
        <v>18</v>
      </c>
      <c r="N42" s="142"/>
      <c r="O42" s="142">
        <v>19</v>
      </c>
      <c r="P42" s="142"/>
      <c r="Q42" s="142">
        <v>20</v>
      </c>
      <c r="R42" s="142"/>
      <c r="S42" s="142">
        <f>+Q42+1</f>
        <v>21</v>
      </c>
      <c r="T42" s="142"/>
      <c r="U42" s="142">
        <f>+S42+1</f>
        <v>22</v>
      </c>
      <c r="V42" s="142"/>
      <c r="W42" s="142">
        <f>+U42+1</f>
        <v>23</v>
      </c>
      <c r="X42" s="142"/>
      <c r="Y42" s="142">
        <f>+W42+1</f>
        <v>24</v>
      </c>
      <c r="Z42" s="142"/>
      <c r="AA42" s="142">
        <f>+Y42+1</f>
        <v>25</v>
      </c>
      <c r="AC42" s="142">
        <f>+AA42+1</f>
        <v>26</v>
      </c>
      <c r="AE42" s="142">
        <f>+AC42+1</f>
        <v>27</v>
      </c>
      <c r="AG42" s="142">
        <f>+AE42+1</f>
        <v>28</v>
      </c>
      <c r="AI42" s="142">
        <f>+AG42+1</f>
        <v>29</v>
      </c>
      <c r="AK42" s="142">
        <f>+AI42+1</f>
        <v>30</v>
      </c>
    </row>
    <row r="43" spans="1:83" ht="23.25" customHeight="1" x14ac:dyDescent="0.35">
      <c r="A43" s="284"/>
      <c r="B43" s="155"/>
      <c r="C43" s="156" t="s">
        <v>30</v>
      </c>
      <c r="D43" s="157"/>
      <c r="E43" s="158" t="s">
        <v>1</v>
      </c>
      <c r="G43" s="158" t="s">
        <v>2</v>
      </c>
      <c r="H43" s="155"/>
      <c r="I43" s="158">
        <f>AY10+1</f>
        <v>2039</v>
      </c>
      <c r="J43" s="158">
        <f>AZ10+1</f>
        <v>1</v>
      </c>
      <c r="K43" s="158">
        <f t="shared" ref="K43:Q43" si="23">I43+1</f>
        <v>2040</v>
      </c>
      <c r="L43" s="158">
        <f t="shared" si="23"/>
        <v>2</v>
      </c>
      <c r="M43" s="158">
        <f t="shared" si="23"/>
        <v>2041</v>
      </c>
      <c r="N43" s="158">
        <f t="shared" si="23"/>
        <v>3</v>
      </c>
      <c r="O43" s="158">
        <f t="shared" si="23"/>
        <v>2042</v>
      </c>
      <c r="P43" s="158">
        <f t="shared" si="23"/>
        <v>4</v>
      </c>
      <c r="Q43" s="158">
        <f t="shared" si="23"/>
        <v>2043</v>
      </c>
      <c r="R43" s="158"/>
      <c r="S43" s="158">
        <f>+Q43+1</f>
        <v>2044</v>
      </c>
      <c r="T43" s="158">
        <f t="shared" ref="T43:AK43" si="24">R43+1</f>
        <v>1</v>
      </c>
      <c r="U43" s="158">
        <f t="shared" si="24"/>
        <v>2045</v>
      </c>
      <c r="V43" s="158">
        <f>T43+1</f>
        <v>2</v>
      </c>
      <c r="W43" s="158">
        <f>U43+1</f>
        <v>2046</v>
      </c>
      <c r="X43" s="158">
        <f t="shared" si="24"/>
        <v>3</v>
      </c>
      <c r="Y43" s="158">
        <f t="shared" si="24"/>
        <v>2047</v>
      </c>
      <c r="Z43" s="158">
        <f t="shared" si="24"/>
        <v>4</v>
      </c>
      <c r="AA43" s="158">
        <f t="shared" si="24"/>
        <v>2048</v>
      </c>
      <c r="AC43" s="158">
        <f t="shared" si="24"/>
        <v>2049</v>
      </c>
      <c r="AE43" s="158">
        <f t="shared" si="24"/>
        <v>2050</v>
      </c>
      <c r="AG43" s="158">
        <f t="shared" si="24"/>
        <v>2051</v>
      </c>
      <c r="AI43" s="158">
        <f t="shared" si="24"/>
        <v>2052</v>
      </c>
      <c r="AK43" s="158">
        <f t="shared" si="24"/>
        <v>2053</v>
      </c>
      <c r="AL43" s="155"/>
    </row>
    <row r="44" spans="1:83" ht="9.9499999999999993" customHeight="1" x14ac:dyDescent="0.35">
      <c r="B44" s="155"/>
      <c r="C44" s="161"/>
      <c r="D44" s="157"/>
      <c r="E44" s="154"/>
      <c r="G44" s="154"/>
      <c r="H44" s="155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155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</row>
    <row r="45" spans="1:83" x14ac:dyDescent="0.35">
      <c r="C45" s="137"/>
      <c r="G45" s="164" t="str">
        <f>+G12</f>
        <v>ELEMENTS</v>
      </c>
      <c r="I45" s="136"/>
      <c r="K45" s="136"/>
      <c r="M45" s="136"/>
      <c r="O45" s="136"/>
      <c r="Q45" s="136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Z45" s="140"/>
      <c r="BA45" s="140"/>
      <c r="BB45" s="140"/>
      <c r="BC45" s="140"/>
      <c r="BD45" s="140"/>
      <c r="BE45" s="140"/>
      <c r="BF45" s="140"/>
      <c r="BG45" s="140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0"/>
      <c r="CB45" s="140"/>
    </row>
    <row r="46" spans="1:83" x14ac:dyDescent="0.35">
      <c r="C46" s="137"/>
      <c r="G46" s="144"/>
      <c r="I46" s="167"/>
      <c r="J46" s="167"/>
      <c r="K46" s="167"/>
      <c r="L46" s="167"/>
      <c r="M46" s="167"/>
      <c r="N46" s="167"/>
      <c r="O46" s="167"/>
      <c r="P46" s="167"/>
      <c r="Q46" s="16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</row>
    <row r="47" spans="1:83" x14ac:dyDescent="0.35">
      <c r="A47" s="168">
        <f t="shared" ref="A47:A68" si="25">+A14</f>
        <v>41</v>
      </c>
      <c r="B47" s="169"/>
      <c r="C47" s="174">
        <f t="shared" ref="C47:C66" si="26">+C14</f>
        <v>1</v>
      </c>
      <c r="D47" s="171"/>
      <c r="E47" s="168" t="str">
        <f t="shared" ref="E47:E66" si="27">+E14</f>
        <v>x</v>
      </c>
      <c r="F47" s="169"/>
      <c r="G47" s="169" t="str">
        <f t="shared" ref="G47:G66" si="28">+G14</f>
        <v>x</v>
      </c>
      <c r="H47" s="169"/>
      <c r="I47" s="208">
        <f t="shared" ref="I47:I52" si="29">FV($U$6,AY$9,,-$S14,0)</f>
        <v>1.5579674166007644</v>
      </c>
      <c r="J47" s="208"/>
      <c r="K47" s="208">
        <f t="shared" ref="K47:K52" si="30">FV($U$6,I$42,,-$S14,0)</f>
        <v>1.6047064390987871</v>
      </c>
      <c r="L47" s="208"/>
      <c r="M47" s="208">
        <f t="shared" ref="M47:M68" si="31">FV($U$6,K$42,,-$S14,0)</f>
        <v>1.6528476322717507</v>
      </c>
      <c r="N47" s="208"/>
      <c r="O47" s="208">
        <f t="shared" ref="O47:O68" si="32">FV($U$6,M$42,,-$S14,0)</f>
        <v>1.7024330612399032</v>
      </c>
      <c r="P47" s="208"/>
      <c r="Q47" s="208">
        <f t="shared" ref="Q47:Q68" si="33">FV($U$6,O$42,,-$S14,0)</f>
        <v>1.7535060530771003</v>
      </c>
      <c r="R47" s="208"/>
      <c r="S47" s="208">
        <f t="shared" ref="S47:S68" si="34">FV($U$6,Q$42,,-$S14,0)</f>
        <v>1.8061112346694133</v>
      </c>
      <c r="T47" s="208"/>
      <c r="U47" s="208">
        <f t="shared" ref="U47:U68" si="35">FV($U$6,S$42,,-$S14,0)</f>
        <v>1.8602945717094954</v>
      </c>
      <c r="V47" s="208"/>
      <c r="W47" s="208">
        <f t="shared" ref="W47:W68" si="36">FV($U$6,U$42,,-$S14,0)</f>
        <v>1.9161034088607805</v>
      </c>
      <c r="X47" s="208"/>
      <c r="Y47" s="208">
        <f t="shared" ref="Y47:Y68" si="37">FV($U$6,W$42,,-$S14,0)</f>
        <v>1.973586511126604</v>
      </c>
      <c r="Z47" s="208"/>
      <c r="AA47" s="208">
        <f t="shared" ref="AA47:AA68" si="38">FV($U$6,Y$42,,-$S14,0)</f>
        <v>2.0327941064604018</v>
      </c>
      <c r="AB47" s="208"/>
      <c r="AC47" s="208">
        <f t="shared" ref="AC47:AC68" si="39">FV($U$6,AA$42,,-$S14,0)</f>
        <v>2.0937779296542138</v>
      </c>
      <c r="AD47" s="208"/>
      <c r="AE47" s="208">
        <f t="shared" ref="AE47:AE68" si="40">FV($U$6,AC$42,,-$S14,0)</f>
        <v>2.1565912675438406</v>
      </c>
      <c r="AF47" s="208"/>
      <c r="AG47" s="208">
        <f t="shared" ref="AG47:AG68" si="41">FV($U$6,AE$42,,-$S14,0)</f>
        <v>2.2212890055701555</v>
      </c>
      <c r="AH47" s="208"/>
      <c r="AI47" s="208">
        <f t="shared" ref="AI47:AI68" si="42">FV($U$6,AG$42,,-$S14,0)</f>
        <v>2.2879276757372602</v>
      </c>
      <c r="AJ47" s="208"/>
      <c r="AK47" s="208">
        <f t="shared" ref="AK47:AK67" si="43">FV($U$6,AI$42,,-$S14,0)</f>
        <v>2.3565655060093778</v>
      </c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</row>
    <row r="48" spans="1:83" x14ac:dyDescent="0.35">
      <c r="A48" s="168">
        <f t="shared" si="25"/>
        <v>42</v>
      </c>
      <c r="B48" s="169"/>
      <c r="C48" s="173">
        <f t="shared" si="26"/>
        <v>1</v>
      </c>
      <c r="D48" s="171"/>
      <c r="E48" s="168" t="str">
        <f t="shared" si="27"/>
        <v>x</v>
      </c>
      <c r="F48" s="169"/>
      <c r="G48" s="169" t="str">
        <f t="shared" si="28"/>
        <v>x</v>
      </c>
      <c r="H48" s="169"/>
      <c r="I48" s="208">
        <f t="shared" si="29"/>
        <v>1.5579674166007644</v>
      </c>
      <c r="J48" s="208"/>
      <c r="K48" s="208">
        <f t="shared" si="30"/>
        <v>1.6047064390987871</v>
      </c>
      <c r="L48" s="208"/>
      <c r="M48" s="208">
        <f t="shared" si="31"/>
        <v>1.6528476322717507</v>
      </c>
      <c r="N48" s="208"/>
      <c r="O48" s="208">
        <f t="shared" si="32"/>
        <v>1.7024330612399032</v>
      </c>
      <c r="P48" s="208"/>
      <c r="Q48" s="208">
        <f t="shared" si="33"/>
        <v>1.7535060530771003</v>
      </c>
      <c r="R48" s="208"/>
      <c r="S48" s="208">
        <f t="shared" si="34"/>
        <v>1.8061112346694133</v>
      </c>
      <c r="T48" s="208"/>
      <c r="U48" s="208">
        <f t="shared" si="35"/>
        <v>1.8602945717094954</v>
      </c>
      <c r="V48" s="208"/>
      <c r="W48" s="208">
        <f t="shared" si="36"/>
        <v>1.9161034088607805</v>
      </c>
      <c r="X48" s="208"/>
      <c r="Y48" s="208">
        <f t="shared" si="37"/>
        <v>1.973586511126604</v>
      </c>
      <c r="Z48" s="208"/>
      <c r="AA48" s="208">
        <f t="shared" si="38"/>
        <v>2.0327941064604018</v>
      </c>
      <c r="AB48" s="208"/>
      <c r="AC48" s="208">
        <f t="shared" si="39"/>
        <v>2.0937779296542138</v>
      </c>
      <c r="AD48" s="208"/>
      <c r="AE48" s="208">
        <f t="shared" si="40"/>
        <v>2.1565912675438406</v>
      </c>
      <c r="AF48" s="208"/>
      <c r="AG48" s="208">
        <f t="shared" si="41"/>
        <v>2.2212890055701555</v>
      </c>
      <c r="AH48" s="208"/>
      <c r="AI48" s="208">
        <f t="shared" si="42"/>
        <v>2.2879276757372602</v>
      </c>
      <c r="AJ48" s="208"/>
      <c r="AK48" s="208">
        <f t="shared" si="43"/>
        <v>2.3565655060093778</v>
      </c>
      <c r="AN48" s="140"/>
      <c r="AO48" s="140"/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40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0"/>
      <c r="CB48" s="140"/>
    </row>
    <row r="49" spans="1:80" x14ac:dyDescent="0.35">
      <c r="A49" s="168">
        <f t="shared" si="25"/>
        <v>43</v>
      </c>
      <c r="B49" s="169"/>
      <c r="C49" s="173">
        <f t="shared" si="26"/>
        <v>1</v>
      </c>
      <c r="D49" s="171"/>
      <c r="E49" s="168" t="str">
        <f t="shared" si="27"/>
        <v>x</v>
      </c>
      <c r="F49" s="169"/>
      <c r="G49" s="169" t="str">
        <f t="shared" si="28"/>
        <v>x</v>
      </c>
      <c r="H49" s="169"/>
      <c r="I49" s="208">
        <f t="shared" si="29"/>
        <v>1.5579674166007644</v>
      </c>
      <c r="J49" s="208"/>
      <c r="K49" s="208">
        <f t="shared" si="30"/>
        <v>1.6047064390987871</v>
      </c>
      <c r="L49" s="208"/>
      <c r="M49" s="208">
        <f t="shared" si="31"/>
        <v>1.6528476322717507</v>
      </c>
      <c r="N49" s="208"/>
      <c r="O49" s="208">
        <f t="shared" si="32"/>
        <v>1.7024330612399032</v>
      </c>
      <c r="P49" s="208"/>
      <c r="Q49" s="208">
        <f t="shared" si="33"/>
        <v>1.7535060530771003</v>
      </c>
      <c r="R49" s="208"/>
      <c r="S49" s="208">
        <f t="shared" si="34"/>
        <v>1.8061112346694133</v>
      </c>
      <c r="T49" s="208"/>
      <c r="U49" s="208">
        <f t="shared" si="35"/>
        <v>1.8602945717094954</v>
      </c>
      <c r="V49" s="208"/>
      <c r="W49" s="208">
        <f t="shared" si="36"/>
        <v>1.9161034088607805</v>
      </c>
      <c r="X49" s="208"/>
      <c r="Y49" s="208">
        <f t="shared" si="37"/>
        <v>1.973586511126604</v>
      </c>
      <c r="Z49" s="208"/>
      <c r="AA49" s="208">
        <f t="shared" si="38"/>
        <v>2.0327941064604018</v>
      </c>
      <c r="AB49" s="208"/>
      <c r="AC49" s="208">
        <f t="shared" si="39"/>
        <v>2.0937779296542138</v>
      </c>
      <c r="AD49" s="208"/>
      <c r="AE49" s="208">
        <f t="shared" si="40"/>
        <v>2.1565912675438406</v>
      </c>
      <c r="AF49" s="208"/>
      <c r="AG49" s="208">
        <f t="shared" si="41"/>
        <v>2.2212890055701555</v>
      </c>
      <c r="AH49" s="208"/>
      <c r="AI49" s="208">
        <f t="shared" si="42"/>
        <v>2.2879276757372602</v>
      </c>
      <c r="AJ49" s="208"/>
      <c r="AK49" s="208">
        <f t="shared" si="43"/>
        <v>2.3565655060093778</v>
      </c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</row>
    <row r="50" spans="1:80" x14ac:dyDescent="0.35">
      <c r="A50" s="135">
        <f t="shared" si="25"/>
        <v>44</v>
      </c>
      <c r="C50" s="177">
        <f t="shared" si="26"/>
        <v>1</v>
      </c>
      <c r="E50" s="135" t="str">
        <f t="shared" si="27"/>
        <v>x</v>
      </c>
      <c r="G50" s="136" t="str">
        <f t="shared" si="28"/>
        <v>x</v>
      </c>
      <c r="I50" s="210">
        <f t="shared" si="29"/>
        <v>1.5579674166007644</v>
      </c>
      <c r="J50" s="210"/>
      <c r="K50" s="210">
        <f t="shared" si="30"/>
        <v>1.6047064390987871</v>
      </c>
      <c r="L50" s="210"/>
      <c r="M50" s="210">
        <f t="shared" si="31"/>
        <v>1.6528476322717507</v>
      </c>
      <c r="N50" s="210"/>
      <c r="O50" s="210">
        <f t="shared" si="32"/>
        <v>1.7024330612399032</v>
      </c>
      <c r="P50" s="210"/>
      <c r="Q50" s="210">
        <f t="shared" si="33"/>
        <v>1.7535060530771003</v>
      </c>
      <c r="R50" s="210"/>
      <c r="S50" s="210">
        <f t="shared" si="34"/>
        <v>1.8061112346694133</v>
      </c>
      <c r="T50" s="210"/>
      <c r="U50" s="210">
        <f t="shared" si="35"/>
        <v>1.8602945717094954</v>
      </c>
      <c r="V50" s="210"/>
      <c r="W50" s="210">
        <f t="shared" si="36"/>
        <v>1.9161034088607805</v>
      </c>
      <c r="X50" s="210"/>
      <c r="Y50" s="210">
        <f t="shared" si="37"/>
        <v>1.973586511126604</v>
      </c>
      <c r="Z50" s="210"/>
      <c r="AA50" s="210">
        <f t="shared" si="38"/>
        <v>2.0327941064604018</v>
      </c>
      <c r="AB50" s="210"/>
      <c r="AC50" s="210">
        <f t="shared" si="39"/>
        <v>2.0937779296542138</v>
      </c>
      <c r="AD50" s="210"/>
      <c r="AE50" s="210">
        <f t="shared" si="40"/>
        <v>2.1565912675438406</v>
      </c>
      <c r="AF50" s="210"/>
      <c r="AG50" s="210">
        <f t="shared" si="41"/>
        <v>2.2212890055701555</v>
      </c>
      <c r="AH50" s="210"/>
      <c r="AI50" s="210">
        <f t="shared" si="42"/>
        <v>2.2879276757372602</v>
      </c>
      <c r="AJ50" s="210"/>
      <c r="AK50" s="210">
        <f t="shared" si="43"/>
        <v>2.3565655060093778</v>
      </c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40"/>
      <c r="BI50" s="140"/>
      <c r="BJ50" s="140"/>
      <c r="BK50" s="140"/>
      <c r="BL50" s="140"/>
      <c r="BM50" s="140"/>
      <c r="BN50" s="140"/>
      <c r="BO50" s="140"/>
      <c r="BP50" s="140"/>
      <c r="BQ50" s="140"/>
      <c r="BR50" s="140"/>
      <c r="BS50" s="140"/>
      <c r="BT50" s="140"/>
      <c r="BU50" s="140"/>
      <c r="BV50" s="140"/>
      <c r="BW50" s="140"/>
      <c r="BX50" s="140"/>
      <c r="BY50" s="140"/>
      <c r="BZ50" s="140"/>
      <c r="CA50" s="140"/>
      <c r="CB50" s="140"/>
    </row>
    <row r="51" spans="1:80" x14ac:dyDescent="0.35">
      <c r="A51" s="135">
        <f t="shared" si="25"/>
        <v>45</v>
      </c>
      <c r="C51" s="177">
        <f t="shared" si="26"/>
        <v>1</v>
      </c>
      <c r="E51" s="135" t="str">
        <f t="shared" si="27"/>
        <v>x</v>
      </c>
      <c r="G51" s="136" t="str">
        <f t="shared" si="28"/>
        <v>x</v>
      </c>
      <c r="I51" s="210">
        <f t="shared" si="29"/>
        <v>1.5579674166007644</v>
      </c>
      <c r="J51" s="210"/>
      <c r="K51" s="210">
        <f t="shared" si="30"/>
        <v>1.6047064390987871</v>
      </c>
      <c r="L51" s="210"/>
      <c r="M51" s="210">
        <f t="shared" si="31"/>
        <v>1.6528476322717507</v>
      </c>
      <c r="N51" s="210"/>
      <c r="O51" s="210">
        <f t="shared" si="32"/>
        <v>1.7024330612399032</v>
      </c>
      <c r="P51" s="210"/>
      <c r="Q51" s="210">
        <f t="shared" si="33"/>
        <v>1.7535060530771003</v>
      </c>
      <c r="R51" s="210"/>
      <c r="S51" s="210">
        <f t="shared" si="34"/>
        <v>1.8061112346694133</v>
      </c>
      <c r="T51" s="210"/>
      <c r="U51" s="210">
        <f t="shared" si="35"/>
        <v>1.8602945717094954</v>
      </c>
      <c r="V51" s="210"/>
      <c r="W51" s="210">
        <f t="shared" si="36"/>
        <v>1.9161034088607805</v>
      </c>
      <c r="X51" s="210"/>
      <c r="Y51" s="210">
        <f t="shared" si="37"/>
        <v>1.973586511126604</v>
      </c>
      <c r="Z51" s="210"/>
      <c r="AA51" s="210">
        <f t="shared" si="38"/>
        <v>2.0327941064604018</v>
      </c>
      <c r="AB51" s="210"/>
      <c r="AC51" s="210">
        <f t="shared" si="39"/>
        <v>2.0937779296542138</v>
      </c>
      <c r="AD51" s="210"/>
      <c r="AE51" s="210">
        <f t="shared" si="40"/>
        <v>2.1565912675438406</v>
      </c>
      <c r="AF51" s="210"/>
      <c r="AG51" s="210">
        <f t="shared" si="41"/>
        <v>2.2212890055701555</v>
      </c>
      <c r="AH51" s="210"/>
      <c r="AI51" s="210">
        <f t="shared" si="42"/>
        <v>2.2879276757372602</v>
      </c>
      <c r="AJ51" s="210"/>
      <c r="AK51" s="210">
        <f t="shared" si="43"/>
        <v>2.3565655060093778</v>
      </c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</row>
    <row r="52" spans="1:80" x14ac:dyDescent="0.35">
      <c r="A52" s="135">
        <f t="shared" si="25"/>
        <v>46</v>
      </c>
      <c r="C52" s="177">
        <f t="shared" si="26"/>
        <v>1</v>
      </c>
      <c r="E52" s="135" t="str">
        <f t="shared" si="27"/>
        <v>x</v>
      </c>
      <c r="G52" s="211" t="str">
        <f t="shared" si="28"/>
        <v>x</v>
      </c>
      <c r="I52" s="210">
        <f t="shared" si="29"/>
        <v>1.5579674166007644</v>
      </c>
      <c r="J52" s="210"/>
      <c r="K52" s="210">
        <f t="shared" si="30"/>
        <v>1.6047064390987871</v>
      </c>
      <c r="L52" s="210"/>
      <c r="M52" s="210">
        <f t="shared" si="31"/>
        <v>1.6528476322717507</v>
      </c>
      <c r="N52" s="210"/>
      <c r="O52" s="210">
        <f t="shared" si="32"/>
        <v>1.7024330612399032</v>
      </c>
      <c r="P52" s="210"/>
      <c r="Q52" s="210">
        <f t="shared" si="33"/>
        <v>1.7535060530771003</v>
      </c>
      <c r="R52" s="210"/>
      <c r="S52" s="210">
        <f t="shared" si="34"/>
        <v>1.8061112346694133</v>
      </c>
      <c r="T52" s="210"/>
      <c r="U52" s="210">
        <f t="shared" si="35"/>
        <v>1.8602945717094954</v>
      </c>
      <c r="V52" s="210"/>
      <c r="W52" s="210">
        <f t="shared" si="36"/>
        <v>1.9161034088607805</v>
      </c>
      <c r="X52" s="210"/>
      <c r="Y52" s="210">
        <f t="shared" si="37"/>
        <v>1.973586511126604</v>
      </c>
      <c r="Z52" s="210"/>
      <c r="AA52" s="210">
        <f t="shared" si="38"/>
        <v>2.0327941064604018</v>
      </c>
      <c r="AB52" s="210"/>
      <c r="AC52" s="210">
        <f t="shared" si="39"/>
        <v>2.0937779296542138</v>
      </c>
      <c r="AD52" s="210"/>
      <c r="AE52" s="210">
        <f t="shared" si="40"/>
        <v>2.1565912675438406</v>
      </c>
      <c r="AF52" s="210"/>
      <c r="AG52" s="210">
        <f t="shared" si="41"/>
        <v>2.2212890055701555</v>
      </c>
      <c r="AH52" s="210"/>
      <c r="AI52" s="210">
        <f t="shared" si="42"/>
        <v>2.2879276757372602</v>
      </c>
      <c r="AJ52" s="210"/>
      <c r="AK52" s="210">
        <f t="shared" si="43"/>
        <v>2.3565655060093778</v>
      </c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140"/>
      <c r="BH52" s="140"/>
      <c r="BI52" s="140"/>
      <c r="BJ52" s="140"/>
      <c r="BK52" s="140"/>
      <c r="BL52" s="140"/>
      <c r="BM52" s="140"/>
      <c r="BN52" s="140"/>
      <c r="BO52" s="140"/>
      <c r="BP52" s="140"/>
      <c r="BQ52" s="140"/>
      <c r="BR52" s="140"/>
      <c r="BS52" s="140"/>
      <c r="BT52" s="140"/>
      <c r="BU52" s="140"/>
      <c r="BV52" s="140"/>
      <c r="BW52" s="140"/>
      <c r="BX52" s="140"/>
      <c r="BY52" s="140"/>
      <c r="BZ52" s="140"/>
      <c r="CA52" s="140"/>
      <c r="CB52" s="140"/>
    </row>
    <row r="53" spans="1:80" x14ac:dyDescent="0.35">
      <c r="A53" s="168">
        <f t="shared" si="25"/>
        <v>47</v>
      </c>
      <c r="B53" s="169"/>
      <c r="C53" s="173">
        <f t="shared" si="26"/>
        <v>1</v>
      </c>
      <c r="D53" s="171"/>
      <c r="E53" s="170" t="str">
        <f t="shared" si="27"/>
        <v>x</v>
      </c>
      <c r="F53" s="169"/>
      <c r="G53" s="212" t="str">
        <f t="shared" si="28"/>
        <v>x</v>
      </c>
      <c r="H53" s="169"/>
      <c r="I53" s="208">
        <f t="shared" ref="I53:I67" si="44">FV($U$6,AY$9,,-$S20,0)</f>
        <v>1.5579674166007644</v>
      </c>
      <c r="J53" s="208"/>
      <c r="K53" s="208">
        <f t="shared" ref="K53:K68" si="45">FV($U$6,I$42,,-$S20,0)</f>
        <v>1.6047064390987871</v>
      </c>
      <c r="L53" s="208"/>
      <c r="M53" s="208">
        <f t="shared" si="31"/>
        <v>1.6528476322717507</v>
      </c>
      <c r="N53" s="208"/>
      <c r="O53" s="208">
        <f t="shared" si="32"/>
        <v>1.7024330612399032</v>
      </c>
      <c r="P53" s="208"/>
      <c r="Q53" s="208">
        <f t="shared" si="33"/>
        <v>1.7535060530771003</v>
      </c>
      <c r="R53" s="208"/>
      <c r="S53" s="208">
        <f t="shared" si="34"/>
        <v>1.8061112346694133</v>
      </c>
      <c r="T53" s="208"/>
      <c r="U53" s="208">
        <f t="shared" si="35"/>
        <v>1.8602945717094954</v>
      </c>
      <c r="V53" s="208"/>
      <c r="W53" s="208">
        <f t="shared" si="36"/>
        <v>1.9161034088607805</v>
      </c>
      <c r="X53" s="208"/>
      <c r="Y53" s="208">
        <f t="shared" si="37"/>
        <v>1.973586511126604</v>
      </c>
      <c r="Z53" s="208"/>
      <c r="AA53" s="208">
        <f t="shared" si="38"/>
        <v>2.0327941064604018</v>
      </c>
      <c r="AB53" s="208"/>
      <c r="AC53" s="208">
        <f t="shared" si="39"/>
        <v>2.0937779296542138</v>
      </c>
      <c r="AD53" s="208"/>
      <c r="AE53" s="208">
        <f t="shared" si="40"/>
        <v>2.1565912675438406</v>
      </c>
      <c r="AF53" s="208"/>
      <c r="AG53" s="208">
        <f t="shared" si="41"/>
        <v>2.2212890055701555</v>
      </c>
      <c r="AH53" s="208"/>
      <c r="AI53" s="208">
        <f t="shared" si="42"/>
        <v>2.2879276757372602</v>
      </c>
      <c r="AJ53" s="208"/>
      <c r="AK53" s="208">
        <f t="shared" si="43"/>
        <v>2.3565655060093778</v>
      </c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  <c r="BO53" s="140"/>
      <c r="BP53" s="140"/>
      <c r="BQ53" s="140"/>
      <c r="BR53" s="140"/>
      <c r="BS53" s="140"/>
      <c r="BT53" s="140"/>
      <c r="BU53" s="140"/>
      <c r="BV53" s="140"/>
      <c r="BW53" s="140"/>
      <c r="BX53" s="140"/>
      <c r="BY53" s="140"/>
      <c r="BZ53" s="140"/>
      <c r="CA53" s="140"/>
      <c r="CB53" s="140"/>
    </row>
    <row r="54" spans="1:80" x14ac:dyDescent="0.35">
      <c r="A54" s="168">
        <f t="shared" si="25"/>
        <v>48</v>
      </c>
      <c r="B54" s="169"/>
      <c r="C54" s="173">
        <f t="shared" si="26"/>
        <v>1</v>
      </c>
      <c r="D54" s="171"/>
      <c r="E54" s="170" t="str">
        <f t="shared" si="27"/>
        <v>x</v>
      </c>
      <c r="F54" s="169"/>
      <c r="G54" s="169" t="str">
        <f t="shared" si="28"/>
        <v>x</v>
      </c>
      <c r="H54" s="169"/>
      <c r="I54" s="208">
        <f t="shared" si="44"/>
        <v>1.5579674166007644</v>
      </c>
      <c r="J54" s="208"/>
      <c r="K54" s="208">
        <f t="shared" si="45"/>
        <v>1.6047064390987871</v>
      </c>
      <c r="L54" s="208"/>
      <c r="M54" s="208">
        <f t="shared" si="31"/>
        <v>1.6528476322717507</v>
      </c>
      <c r="N54" s="208"/>
      <c r="O54" s="208">
        <f t="shared" si="32"/>
        <v>1.7024330612399032</v>
      </c>
      <c r="P54" s="208"/>
      <c r="Q54" s="208">
        <f t="shared" si="33"/>
        <v>1.7535060530771003</v>
      </c>
      <c r="R54" s="208"/>
      <c r="S54" s="208">
        <f t="shared" si="34"/>
        <v>1.8061112346694133</v>
      </c>
      <c r="T54" s="208"/>
      <c r="U54" s="208">
        <f t="shared" si="35"/>
        <v>1.8602945717094954</v>
      </c>
      <c r="V54" s="208"/>
      <c r="W54" s="208">
        <f t="shared" si="36"/>
        <v>1.9161034088607805</v>
      </c>
      <c r="X54" s="208"/>
      <c r="Y54" s="208">
        <f t="shared" si="37"/>
        <v>1.973586511126604</v>
      </c>
      <c r="Z54" s="208"/>
      <c r="AA54" s="208">
        <f t="shared" si="38"/>
        <v>2.0327941064604018</v>
      </c>
      <c r="AB54" s="208"/>
      <c r="AC54" s="208">
        <f t="shared" si="39"/>
        <v>2.0937779296542138</v>
      </c>
      <c r="AD54" s="208"/>
      <c r="AE54" s="208">
        <f t="shared" si="40"/>
        <v>2.1565912675438406</v>
      </c>
      <c r="AF54" s="208"/>
      <c r="AG54" s="208">
        <f t="shared" si="41"/>
        <v>2.2212890055701555</v>
      </c>
      <c r="AH54" s="208"/>
      <c r="AI54" s="208">
        <f t="shared" si="42"/>
        <v>2.2879276757372602</v>
      </c>
      <c r="AJ54" s="208"/>
      <c r="AK54" s="208">
        <f t="shared" si="43"/>
        <v>2.3565655060093778</v>
      </c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  <c r="BH54" s="140"/>
      <c r="BI54" s="140"/>
      <c r="BJ54" s="140"/>
      <c r="BK54" s="140"/>
      <c r="BL54" s="140"/>
      <c r="BM54" s="140"/>
      <c r="BN54" s="140"/>
      <c r="BO54" s="140"/>
      <c r="BP54" s="140"/>
      <c r="BQ54" s="140"/>
      <c r="BR54" s="140"/>
      <c r="BS54" s="140"/>
      <c r="BT54" s="140"/>
      <c r="BU54" s="140"/>
      <c r="BV54" s="140"/>
      <c r="BW54" s="140"/>
      <c r="BX54" s="140"/>
      <c r="BY54" s="140"/>
      <c r="BZ54" s="140"/>
      <c r="CA54" s="140"/>
      <c r="CB54" s="140"/>
    </row>
    <row r="55" spans="1:80" x14ac:dyDescent="0.35">
      <c r="A55" s="168">
        <f t="shared" si="25"/>
        <v>49</v>
      </c>
      <c r="B55" s="169"/>
      <c r="C55" s="173">
        <f t="shared" si="26"/>
        <v>1</v>
      </c>
      <c r="D55" s="171"/>
      <c r="E55" s="168" t="str">
        <f t="shared" si="27"/>
        <v>x</v>
      </c>
      <c r="F55" s="169"/>
      <c r="G55" s="169" t="str">
        <f t="shared" si="28"/>
        <v>x</v>
      </c>
      <c r="H55" s="169"/>
      <c r="I55" s="208">
        <f t="shared" si="44"/>
        <v>1.5579674166007644</v>
      </c>
      <c r="J55" s="208"/>
      <c r="K55" s="208">
        <f t="shared" si="45"/>
        <v>1.6047064390987871</v>
      </c>
      <c r="L55" s="208"/>
      <c r="M55" s="208">
        <f t="shared" si="31"/>
        <v>1.6528476322717507</v>
      </c>
      <c r="N55" s="208"/>
      <c r="O55" s="208">
        <f t="shared" si="32"/>
        <v>1.7024330612399032</v>
      </c>
      <c r="P55" s="208"/>
      <c r="Q55" s="208">
        <f t="shared" si="33"/>
        <v>1.7535060530771003</v>
      </c>
      <c r="R55" s="208"/>
      <c r="S55" s="208">
        <f t="shared" si="34"/>
        <v>1.8061112346694133</v>
      </c>
      <c r="T55" s="208"/>
      <c r="U55" s="208">
        <f t="shared" si="35"/>
        <v>1.8602945717094954</v>
      </c>
      <c r="V55" s="208"/>
      <c r="W55" s="208">
        <f t="shared" si="36"/>
        <v>1.9161034088607805</v>
      </c>
      <c r="X55" s="208"/>
      <c r="Y55" s="208">
        <f t="shared" si="37"/>
        <v>1.973586511126604</v>
      </c>
      <c r="Z55" s="208"/>
      <c r="AA55" s="208">
        <f t="shared" si="38"/>
        <v>2.0327941064604018</v>
      </c>
      <c r="AB55" s="208"/>
      <c r="AC55" s="208">
        <f t="shared" si="39"/>
        <v>2.0937779296542138</v>
      </c>
      <c r="AD55" s="208"/>
      <c r="AE55" s="208">
        <f t="shared" si="40"/>
        <v>2.1565912675438406</v>
      </c>
      <c r="AF55" s="208"/>
      <c r="AG55" s="208">
        <f t="shared" si="41"/>
        <v>2.2212890055701555</v>
      </c>
      <c r="AH55" s="208"/>
      <c r="AI55" s="208">
        <f t="shared" si="42"/>
        <v>2.2879276757372602</v>
      </c>
      <c r="AJ55" s="208"/>
      <c r="AK55" s="208">
        <f t="shared" si="43"/>
        <v>2.3565655060093778</v>
      </c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  <c r="BH55" s="140"/>
      <c r="BI55" s="140"/>
      <c r="BJ55" s="140"/>
      <c r="BK55" s="140"/>
      <c r="BL55" s="140"/>
      <c r="BM55" s="140"/>
      <c r="BN55" s="140"/>
      <c r="BO55" s="140"/>
      <c r="BP55" s="140"/>
      <c r="BQ55" s="140"/>
      <c r="BR55" s="140"/>
      <c r="BS55" s="140"/>
      <c r="BT55" s="140"/>
      <c r="BU55" s="140"/>
      <c r="BV55" s="140"/>
      <c r="BW55" s="140"/>
      <c r="BX55" s="140"/>
      <c r="BY55" s="140"/>
      <c r="BZ55" s="140"/>
      <c r="CA55" s="140"/>
      <c r="CB55" s="140"/>
    </row>
    <row r="56" spans="1:80" x14ac:dyDescent="0.35">
      <c r="A56" s="135">
        <f t="shared" si="25"/>
        <v>50</v>
      </c>
      <c r="C56" s="177">
        <f t="shared" si="26"/>
        <v>1</v>
      </c>
      <c r="E56" s="135" t="str">
        <f t="shared" si="27"/>
        <v>x</v>
      </c>
      <c r="G56" s="136" t="str">
        <f t="shared" si="28"/>
        <v>x</v>
      </c>
      <c r="I56" s="210">
        <f t="shared" si="44"/>
        <v>1.5579674166007644</v>
      </c>
      <c r="J56" s="210"/>
      <c r="K56" s="210">
        <f t="shared" si="45"/>
        <v>1.6047064390987871</v>
      </c>
      <c r="L56" s="210"/>
      <c r="M56" s="210">
        <f t="shared" si="31"/>
        <v>1.6528476322717507</v>
      </c>
      <c r="N56" s="210"/>
      <c r="O56" s="210">
        <f t="shared" si="32"/>
        <v>1.7024330612399032</v>
      </c>
      <c r="P56" s="210"/>
      <c r="Q56" s="210">
        <f t="shared" si="33"/>
        <v>1.7535060530771003</v>
      </c>
      <c r="R56" s="210"/>
      <c r="S56" s="210">
        <f t="shared" si="34"/>
        <v>1.8061112346694133</v>
      </c>
      <c r="T56" s="210"/>
      <c r="U56" s="210">
        <f t="shared" si="35"/>
        <v>1.8602945717094954</v>
      </c>
      <c r="V56" s="210"/>
      <c r="W56" s="210">
        <f t="shared" si="36"/>
        <v>1.9161034088607805</v>
      </c>
      <c r="X56" s="210"/>
      <c r="Y56" s="210">
        <f t="shared" si="37"/>
        <v>1.973586511126604</v>
      </c>
      <c r="Z56" s="210"/>
      <c r="AA56" s="210">
        <f t="shared" si="38"/>
        <v>2.0327941064604018</v>
      </c>
      <c r="AB56" s="210"/>
      <c r="AC56" s="210">
        <f t="shared" si="39"/>
        <v>2.0937779296542138</v>
      </c>
      <c r="AD56" s="210"/>
      <c r="AE56" s="210">
        <f t="shared" si="40"/>
        <v>2.1565912675438406</v>
      </c>
      <c r="AF56" s="210"/>
      <c r="AG56" s="210">
        <f t="shared" si="41"/>
        <v>2.2212890055701555</v>
      </c>
      <c r="AH56" s="210"/>
      <c r="AI56" s="210">
        <f t="shared" si="42"/>
        <v>2.2879276757372602</v>
      </c>
      <c r="AJ56" s="210"/>
      <c r="AK56" s="210">
        <f t="shared" si="43"/>
        <v>2.3565655060093778</v>
      </c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  <c r="BH56" s="140"/>
      <c r="BI56" s="140"/>
      <c r="BJ56" s="140"/>
      <c r="BK56" s="140"/>
      <c r="BL56" s="140"/>
      <c r="BM56" s="140"/>
      <c r="BN56" s="140"/>
      <c r="BO56" s="140"/>
      <c r="BP56" s="140"/>
      <c r="BQ56" s="140"/>
      <c r="BR56" s="140"/>
      <c r="BS56" s="140"/>
      <c r="BT56" s="140"/>
      <c r="BU56" s="140"/>
      <c r="BV56" s="140"/>
      <c r="BW56" s="140"/>
      <c r="BX56" s="140"/>
      <c r="BY56" s="140"/>
      <c r="BZ56" s="140"/>
      <c r="CA56" s="140"/>
      <c r="CB56" s="140"/>
    </row>
    <row r="57" spans="1:80" x14ac:dyDescent="0.35">
      <c r="A57" s="135">
        <f t="shared" si="25"/>
        <v>51</v>
      </c>
      <c r="C57" s="177">
        <f t="shared" si="26"/>
        <v>1</v>
      </c>
      <c r="E57" s="135" t="str">
        <f t="shared" si="27"/>
        <v>x</v>
      </c>
      <c r="G57" s="136" t="str">
        <f t="shared" si="28"/>
        <v>x</v>
      </c>
      <c r="I57" s="210">
        <f t="shared" si="44"/>
        <v>1.5579674166007644</v>
      </c>
      <c r="J57" s="210"/>
      <c r="K57" s="210">
        <f t="shared" si="45"/>
        <v>1.6047064390987871</v>
      </c>
      <c r="L57" s="210"/>
      <c r="M57" s="210">
        <f t="shared" si="31"/>
        <v>1.6528476322717507</v>
      </c>
      <c r="N57" s="210"/>
      <c r="O57" s="210">
        <f t="shared" si="32"/>
        <v>1.7024330612399032</v>
      </c>
      <c r="P57" s="210"/>
      <c r="Q57" s="210">
        <f t="shared" si="33"/>
        <v>1.7535060530771003</v>
      </c>
      <c r="R57" s="210"/>
      <c r="S57" s="210">
        <f t="shared" si="34"/>
        <v>1.8061112346694133</v>
      </c>
      <c r="T57" s="210"/>
      <c r="U57" s="210">
        <f t="shared" si="35"/>
        <v>1.8602945717094954</v>
      </c>
      <c r="V57" s="210"/>
      <c r="W57" s="210">
        <f t="shared" si="36"/>
        <v>1.9161034088607805</v>
      </c>
      <c r="X57" s="210"/>
      <c r="Y57" s="210">
        <f t="shared" si="37"/>
        <v>1.973586511126604</v>
      </c>
      <c r="Z57" s="210"/>
      <c r="AA57" s="210">
        <f t="shared" si="38"/>
        <v>2.0327941064604018</v>
      </c>
      <c r="AB57" s="210"/>
      <c r="AC57" s="210">
        <f t="shared" si="39"/>
        <v>2.0937779296542138</v>
      </c>
      <c r="AD57" s="210"/>
      <c r="AE57" s="210">
        <f t="shared" si="40"/>
        <v>2.1565912675438406</v>
      </c>
      <c r="AF57" s="210"/>
      <c r="AG57" s="210">
        <f t="shared" si="41"/>
        <v>2.2212890055701555</v>
      </c>
      <c r="AH57" s="210"/>
      <c r="AI57" s="210">
        <f t="shared" si="42"/>
        <v>2.2879276757372602</v>
      </c>
      <c r="AJ57" s="210"/>
      <c r="AK57" s="210">
        <f t="shared" si="43"/>
        <v>2.3565655060093778</v>
      </c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0"/>
      <c r="BH57" s="140"/>
      <c r="BI57" s="140"/>
      <c r="BJ57" s="140"/>
      <c r="BK57" s="140"/>
      <c r="BL57" s="140"/>
      <c r="BM57" s="140"/>
      <c r="BN57" s="140"/>
      <c r="BO57" s="140"/>
      <c r="BP57" s="140"/>
      <c r="BQ57" s="140"/>
      <c r="BR57" s="140"/>
      <c r="BS57" s="140"/>
      <c r="BT57" s="140"/>
      <c r="BU57" s="140"/>
      <c r="BV57" s="140"/>
      <c r="BW57" s="140"/>
      <c r="BX57" s="140"/>
      <c r="BY57" s="140"/>
      <c r="BZ57" s="140"/>
      <c r="CA57" s="140"/>
      <c r="CB57" s="140"/>
    </row>
    <row r="58" spans="1:80" ht="22.9" customHeight="1" x14ac:dyDescent="0.35">
      <c r="A58" s="135">
        <f t="shared" si="25"/>
        <v>52</v>
      </c>
      <c r="C58" s="177">
        <f t="shared" si="26"/>
        <v>1</v>
      </c>
      <c r="E58" s="135" t="str">
        <f t="shared" si="27"/>
        <v>x</v>
      </c>
      <c r="G58" s="211" t="str">
        <f t="shared" si="28"/>
        <v>x</v>
      </c>
      <c r="I58" s="210">
        <f t="shared" si="44"/>
        <v>1.5579674166007644</v>
      </c>
      <c r="J58" s="210"/>
      <c r="K58" s="210">
        <f t="shared" si="45"/>
        <v>1.6047064390987871</v>
      </c>
      <c r="L58" s="210"/>
      <c r="M58" s="210">
        <f t="shared" si="31"/>
        <v>1.6528476322717507</v>
      </c>
      <c r="N58" s="210"/>
      <c r="O58" s="210">
        <f t="shared" si="32"/>
        <v>1.7024330612399032</v>
      </c>
      <c r="P58" s="210"/>
      <c r="Q58" s="210">
        <f t="shared" si="33"/>
        <v>1.7535060530771003</v>
      </c>
      <c r="R58" s="210"/>
      <c r="S58" s="210">
        <f t="shared" si="34"/>
        <v>1.8061112346694133</v>
      </c>
      <c r="T58" s="210"/>
      <c r="U58" s="210">
        <f t="shared" si="35"/>
        <v>1.8602945717094954</v>
      </c>
      <c r="V58" s="210"/>
      <c r="W58" s="210">
        <f t="shared" si="36"/>
        <v>1.9161034088607805</v>
      </c>
      <c r="X58" s="210"/>
      <c r="Y58" s="210">
        <f t="shared" si="37"/>
        <v>1.973586511126604</v>
      </c>
      <c r="Z58" s="210"/>
      <c r="AA58" s="210">
        <f t="shared" si="38"/>
        <v>2.0327941064604018</v>
      </c>
      <c r="AB58" s="210"/>
      <c r="AC58" s="210">
        <f t="shared" si="39"/>
        <v>2.0937779296542138</v>
      </c>
      <c r="AD58" s="210"/>
      <c r="AE58" s="210">
        <f t="shared" si="40"/>
        <v>2.1565912675438406</v>
      </c>
      <c r="AF58" s="210"/>
      <c r="AG58" s="210">
        <f t="shared" si="41"/>
        <v>2.2212890055701555</v>
      </c>
      <c r="AH58" s="210"/>
      <c r="AI58" s="210">
        <f t="shared" si="42"/>
        <v>2.2879276757372602</v>
      </c>
      <c r="AJ58" s="210"/>
      <c r="AK58" s="210">
        <f t="shared" si="43"/>
        <v>2.3565655060093778</v>
      </c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0"/>
      <c r="BM58" s="140"/>
      <c r="BN58" s="140"/>
      <c r="BO58" s="140"/>
      <c r="BP58" s="140"/>
      <c r="BQ58" s="140"/>
      <c r="BR58" s="140"/>
      <c r="BS58" s="140"/>
      <c r="BT58" s="140"/>
      <c r="BU58" s="140"/>
      <c r="BV58" s="140"/>
      <c r="BW58" s="140"/>
      <c r="BX58" s="140"/>
      <c r="BY58" s="140"/>
      <c r="BZ58" s="140"/>
      <c r="CA58" s="140"/>
      <c r="CB58" s="140"/>
    </row>
    <row r="59" spans="1:80" x14ac:dyDescent="0.35">
      <c r="A59" s="168">
        <f t="shared" si="25"/>
        <v>53</v>
      </c>
      <c r="B59" s="169"/>
      <c r="C59" s="173">
        <f t="shared" si="26"/>
        <v>1</v>
      </c>
      <c r="D59" s="171"/>
      <c r="E59" s="168" t="str">
        <f t="shared" si="27"/>
        <v>x</v>
      </c>
      <c r="F59" s="169"/>
      <c r="G59" s="169" t="str">
        <f t="shared" si="28"/>
        <v>x</v>
      </c>
      <c r="H59" s="169"/>
      <c r="I59" s="208">
        <f t="shared" si="44"/>
        <v>1.5579674166007644</v>
      </c>
      <c r="J59" s="208"/>
      <c r="K59" s="208">
        <f t="shared" si="45"/>
        <v>1.6047064390987871</v>
      </c>
      <c r="L59" s="208"/>
      <c r="M59" s="208">
        <f t="shared" si="31"/>
        <v>1.6528476322717507</v>
      </c>
      <c r="N59" s="208"/>
      <c r="O59" s="208">
        <f t="shared" si="32"/>
        <v>1.7024330612399032</v>
      </c>
      <c r="P59" s="208"/>
      <c r="Q59" s="208">
        <f t="shared" si="33"/>
        <v>1.7535060530771003</v>
      </c>
      <c r="R59" s="208"/>
      <c r="S59" s="208">
        <f t="shared" si="34"/>
        <v>1.8061112346694133</v>
      </c>
      <c r="T59" s="208"/>
      <c r="U59" s="208">
        <f t="shared" si="35"/>
        <v>1.8602945717094954</v>
      </c>
      <c r="V59" s="208"/>
      <c r="W59" s="208">
        <f t="shared" si="36"/>
        <v>1.9161034088607805</v>
      </c>
      <c r="X59" s="208"/>
      <c r="Y59" s="208">
        <f t="shared" si="37"/>
        <v>1.973586511126604</v>
      </c>
      <c r="Z59" s="208"/>
      <c r="AA59" s="208">
        <f t="shared" si="38"/>
        <v>2.0327941064604018</v>
      </c>
      <c r="AB59" s="208"/>
      <c r="AC59" s="208">
        <f t="shared" si="39"/>
        <v>2.0937779296542138</v>
      </c>
      <c r="AD59" s="208"/>
      <c r="AE59" s="208">
        <f t="shared" si="40"/>
        <v>2.1565912675438406</v>
      </c>
      <c r="AF59" s="208"/>
      <c r="AG59" s="208">
        <f t="shared" si="41"/>
        <v>2.2212890055701555</v>
      </c>
      <c r="AH59" s="208"/>
      <c r="AI59" s="208">
        <f t="shared" si="42"/>
        <v>2.2879276757372602</v>
      </c>
      <c r="AJ59" s="208"/>
      <c r="AK59" s="208">
        <f t="shared" si="43"/>
        <v>2.3565655060093778</v>
      </c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</row>
    <row r="60" spans="1:80" x14ac:dyDescent="0.35">
      <c r="A60" s="168">
        <f t="shared" si="25"/>
        <v>54</v>
      </c>
      <c r="B60" s="169"/>
      <c r="C60" s="173">
        <f t="shared" si="26"/>
        <v>1</v>
      </c>
      <c r="D60" s="171"/>
      <c r="E60" s="168" t="str">
        <f t="shared" si="27"/>
        <v>x</v>
      </c>
      <c r="F60" s="169"/>
      <c r="G60" s="187" t="str">
        <f t="shared" si="28"/>
        <v>x</v>
      </c>
      <c r="H60" s="169"/>
      <c r="I60" s="208">
        <f t="shared" si="44"/>
        <v>1.5579674166007644</v>
      </c>
      <c r="J60" s="208"/>
      <c r="K60" s="208">
        <f t="shared" si="45"/>
        <v>1.6047064390987871</v>
      </c>
      <c r="L60" s="208"/>
      <c r="M60" s="208">
        <f t="shared" si="31"/>
        <v>1.6528476322717507</v>
      </c>
      <c r="N60" s="208"/>
      <c r="O60" s="208">
        <f t="shared" si="32"/>
        <v>1.7024330612399032</v>
      </c>
      <c r="P60" s="208"/>
      <c r="Q60" s="208">
        <f t="shared" si="33"/>
        <v>1.7535060530771003</v>
      </c>
      <c r="R60" s="208"/>
      <c r="S60" s="208">
        <f t="shared" si="34"/>
        <v>1.8061112346694133</v>
      </c>
      <c r="T60" s="208"/>
      <c r="U60" s="208">
        <f t="shared" si="35"/>
        <v>1.8602945717094954</v>
      </c>
      <c r="V60" s="208"/>
      <c r="W60" s="208">
        <f t="shared" si="36"/>
        <v>1.9161034088607805</v>
      </c>
      <c r="X60" s="208"/>
      <c r="Y60" s="208">
        <f t="shared" si="37"/>
        <v>1.973586511126604</v>
      </c>
      <c r="Z60" s="208"/>
      <c r="AA60" s="208">
        <f t="shared" si="38"/>
        <v>2.0327941064604018</v>
      </c>
      <c r="AB60" s="208"/>
      <c r="AC60" s="208">
        <f t="shared" si="39"/>
        <v>2.0937779296542138</v>
      </c>
      <c r="AD60" s="208"/>
      <c r="AE60" s="208">
        <f t="shared" si="40"/>
        <v>2.1565912675438406</v>
      </c>
      <c r="AF60" s="208"/>
      <c r="AG60" s="208">
        <f t="shared" si="41"/>
        <v>2.2212890055701555</v>
      </c>
      <c r="AH60" s="208"/>
      <c r="AI60" s="208">
        <f t="shared" si="42"/>
        <v>2.2879276757372602</v>
      </c>
      <c r="AJ60" s="208"/>
      <c r="AK60" s="208">
        <f t="shared" si="43"/>
        <v>2.3565655060093778</v>
      </c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</row>
    <row r="61" spans="1:80" x14ac:dyDescent="0.35">
      <c r="A61" s="168">
        <f t="shared" si="25"/>
        <v>55</v>
      </c>
      <c r="B61" s="169"/>
      <c r="C61" s="173">
        <f t="shared" si="26"/>
        <v>1</v>
      </c>
      <c r="D61" s="171"/>
      <c r="E61" s="168" t="str">
        <f t="shared" si="27"/>
        <v>x</v>
      </c>
      <c r="F61" s="169"/>
      <c r="G61" s="187" t="str">
        <f t="shared" si="28"/>
        <v>x</v>
      </c>
      <c r="H61" s="169"/>
      <c r="I61" s="208">
        <f t="shared" si="44"/>
        <v>1.5579674166007644</v>
      </c>
      <c r="J61" s="208"/>
      <c r="K61" s="208">
        <f t="shared" si="45"/>
        <v>1.6047064390987871</v>
      </c>
      <c r="L61" s="208"/>
      <c r="M61" s="208">
        <f t="shared" si="31"/>
        <v>1.6528476322717507</v>
      </c>
      <c r="N61" s="208"/>
      <c r="O61" s="208">
        <f t="shared" si="32"/>
        <v>1.7024330612399032</v>
      </c>
      <c r="P61" s="208"/>
      <c r="Q61" s="208">
        <f t="shared" si="33"/>
        <v>1.7535060530771003</v>
      </c>
      <c r="R61" s="208"/>
      <c r="S61" s="208">
        <f t="shared" si="34"/>
        <v>1.8061112346694133</v>
      </c>
      <c r="T61" s="208"/>
      <c r="U61" s="208">
        <f t="shared" si="35"/>
        <v>1.8602945717094954</v>
      </c>
      <c r="V61" s="208"/>
      <c r="W61" s="208">
        <f t="shared" si="36"/>
        <v>1.9161034088607805</v>
      </c>
      <c r="X61" s="208"/>
      <c r="Y61" s="208">
        <f t="shared" si="37"/>
        <v>1.973586511126604</v>
      </c>
      <c r="Z61" s="208"/>
      <c r="AA61" s="208">
        <f t="shared" si="38"/>
        <v>2.0327941064604018</v>
      </c>
      <c r="AB61" s="208"/>
      <c r="AC61" s="208">
        <f t="shared" si="39"/>
        <v>2.0937779296542138</v>
      </c>
      <c r="AD61" s="208"/>
      <c r="AE61" s="208">
        <f t="shared" si="40"/>
        <v>2.1565912675438406</v>
      </c>
      <c r="AF61" s="208"/>
      <c r="AG61" s="208">
        <f t="shared" si="41"/>
        <v>2.2212890055701555</v>
      </c>
      <c r="AH61" s="208"/>
      <c r="AI61" s="208">
        <f t="shared" si="42"/>
        <v>2.2879276757372602</v>
      </c>
      <c r="AJ61" s="208"/>
      <c r="AK61" s="208">
        <f t="shared" si="43"/>
        <v>2.3565655060093778</v>
      </c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</row>
    <row r="62" spans="1:80" x14ac:dyDescent="0.35">
      <c r="A62" s="135">
        <f t="shared" si="25"/>
        <v>56</v>
      </c>
      <c r="C62" s="177">
        <f t="shared" si="26"/>
        <v>1</v>
      </c>
      <c r="E62" s="135" t="str">
        <f t="shared" si="27"/>
        <v>x</v>
      </c>
      <c r="G62" s="136" t="str">
        <f t="shared" si="28"/>
        <v>x</v>
      </c>
      <c r="I62" s="210">
        <f t="shared" si="44"/>
        <v>1.5579674166007644</v>
      </c>
      <c r="J62" s="210"/>
      <c r="K62" s="210">
        <f t="shared" si="45"/>
        <v>1.6047064390987871</v>
      </c>
      <c r="L62" s="210"/>
      <c r="M62" s="210">
        <f t="shared" si="31"/>
        <v>1.6528476322717507</v>
      </c>
      <c r="N62" s="210"/>
      <c r="O62" s="210">
        <f t="shared" si="32"/>
        <v>1.7024330612399032</v>
      </c>
      <c r="P62" s="210"/>
      <c r="Q62" s="210">
        <f t="shared" si="33"/>
        <v>1.7535060530771003</v>
      </c>
      <c r="R62" s="210"/>
      <c r="S62" s="210">
        <f t="shared" si="34"/>
        <v>1.8061112346694133</v>
      </c>
      <c r="T62" s="210"/>
      <c r="U62" s="210">
        <f t="shared" si="35"/>
        <v>1.8602945717094954</v>
      </c>
      <c r="V62" s="210"/>
      <c r="W62" s="210">
        <f t="shared" si="36"/>
        <v>1.9161034088607805</v>
      </c>
      <c r="X62" s="210"/>
      <c r="Y62" s="210">
        <f t="shared" si="37"/>
        <v>1.973586511126604</v>
      </c>
      <c r="Z62" s="210"/>
      <c r="AA62" s="210">
        <f t="shared" si="38"/>
        <v>2.0327941064604018</v>
      </c>
      <c r="AB62" s="210"/>
      <c r="AC62" s="210">
        <f t="shared" si="39"/>
        <v>2.0937779296542138</v>
      </c>
      <c r="AD62" s="210"/>
      <c r="AE62" s="210">
        <f t="shared" si="40"/>
        <v>2.1565912675438406</v>
      </c>
      <c r="AF62" s="210"/>
      <c r="AG62" s="210">
        <f t="shared" si="41"/>
        <v>2.2212890055701555</v>
      </c>
      <c r="AH62" s="210"/>
      <c r="AI62" s="210">
        <f t="shared" si="42"/>
        <v>2.2879276757372602</v>
      </c>
      <c r="AJ62" s="210"/>
      <c r="AK62" s="210">
        <f t="shared" si="43"/>
        <v>2.3565655060093778</v>
      </c>
    </row>
    <row r="63" spans="1:80" x14ac:dyDescent="0.35">
      <c r="A63" s="135">
        <f t="shared" si="25"/>
        <v>57</v>
      </c>
      <c r="C63" s="177">
        <f t="shared" si="26"/>
        <v>1</v>
      </c>
      <c r="E63" s="135" t="str">
        <f t="shared" si="27"/>
        <v>x</v>
      </c>
      <c r="G63" s="136" t="str">
        <f t="shared" si="28"/>
        <v>x</v>
      </c>
      <c r="I63" s="210">
        <f t="shared" si="44"/>
        <v>1.5579674166007644</v>
      </c>
      <c r="J63" s="210"/>
      <c r="K63" s="210">
        <f t="shared" si="45"/>
        <v>1.6047064390987871</v>
      </c>
      <c r="L63" s="210"/>
      <c r="M63" s="210">
        <f t="shared" si="31"/>
        <v>1.6528476322717507</v>
      </c>
      <c r="N63" s="210"/>
      <c r="O63" s="210">
        <f t="shared" si="32"/>
        <v>1.7024330612399032</v>
      </c>
      <c r="P63" s="210"/>
      <c r="Q63" s="210">
        <f t="shared" si="33"/>
        <v>1.7535060530771003</v>
      </c>
      <c r="R63" s="210"/>
      <c r="S63" s="210">
        <f t="shared" si="34"/>
        <v>1.8061112346694133</v>
      </c>
      <c r="T63" s="210"/>
      <c r="U63" s="210">
        <f t="shared" si="35"/>
        <v>1.8602945717094954</v>
      </c>
      <c r="V63" s="210"/>
      <c r="W63" s="210">
        <f t="shared" si="36"/>
        <v>1.9161034088607805</v>
      </c>
      <c r="X63" s="210"/>
      <c r="Y63" s="210">
        <f t="shared" si="37"/>
        <v>1.973586511126604</v>
      </c>
      <c r="Z63" s="210"/>
      <c r="AA63" s="210">
        <f t="shared" si="38"/>
        <v>2.0327941064604018</v>
      </c>
      <c r="AB63" s="210"/>
      <c r="AC63" s="210">
        <f t="shared" si="39"/>
        <v>2.0937779296542138</v>
      </c>
      <c r="AD63" s="210"/>
      <c r="AE63" s="210">
        <f t="shared" si="40"/>
        <v>2.1565912675438406</v>
      </c>
      <c r="AF63" s="210"/>
      <c r="AG63" s="210">
        <f t="shared" si="41"/>
        <v>2.2212890055701555</v>
      </c>
      <c r="AH63" s="210"/>
      <c r="AI63" s="210">
        <f t="shared" si="42"/>
        <v>2.2879276757372602</v>
      </c>
      <c r="AJ63" s="210"/>
      <c r="AK63" s="210">
        <f t="shared" si="43"/>
        <v>2.3565655060093778</v>
      </c>
    </row>
    <row r="64" spans="1:80" x14ac:dyDescent="0.35">
      <c r="A64" s="135">
        <f t="shared" si="25"/>
        <v>58</v>
      </c>
      <c r="C64" s="177">
        <f t="shared" si="26"/>
        <v>1</v>
      </c>
      <c r="E64" s="135" t="str">
        <f t="shared" si="27"/>
        <v>x</v>
      </c>
      <c r="G64" s="136" t="str">
        <f t="shared" si="28"/>
        <v>x</v>
      </c>
      <c r="I64" s="210">
        <f t="shared" si="44"/>
        <v>1.5579674166007644</v>
      </c>
      <c r="J64" s="210"/>
      <c r="K64" s="210">
        <f t="shared" si="45"/>
        <v>1.6047064390987871</v>
      </c>
      <c r="L64" s="210"/>
      <c r="M64" s="210">
        <f t="shared" si="31"/>
        <v>1.6528476322717507</v>
      </c>
      <c r="N64" s="210"/>
      <c r="O64" s="210">
        <f t="shared" si="32"/>
        <v>1.7024330612399032</v>
      </c>
      <c r="P64" s="210"/>
      <c r="Q64" s="210">
        <f t="shared" si="33"/>
        <v>1.7535060530771003</v>
      </c>
      <c r="R64" s="210"/>
      <c r="S64" s="210">
        <f t="shared" si="34"/>
        <v>1.8061112346694133</v>
      </c>
      <c r="T64" s="210"/>
      <c r="U64" s="210">
        <f t="shared" si="35"/>
        <v>1.8602945717094954</v>
      </c>
      <c r="V64" s="210"/>
      <c r="W64" s="210">
        <f t="shared" si="36"/>
        <v>1.9161034088607805</v>
      </c>
      <c r="X64" s="210"/>
      <c r="Y64" s="210">
        <f t="shared" si="37"/>
        <v>1.973586511126604</v>
      </c>
      <c r="Z64" s="210"/>
      <c r="AA64" s="210">
        <f t="shared" si="38"/>
        <v>2.0327941064604018</v>
      </c>
      <c r="AB64" s="210"/>
      <c r="AC64" s="210">
        <f t="shared" si="39"/>
        <v>2.0937779296542138</v>
      </c>
      <c r="AD64" s="210"/>
      <c r="AE64" s="210">
        <f t="shared" si="40"/>
        <v>2.1565912675438406</v>
      </c>
      <c r="AF64" s="210"/>
      <c r="AG64" s="210">
        <f t="shared" si="41"/>
        <v>2.2212890055701555</v>
      </c>
      <c r="AH64" s="210"/>
      <c r="AI64" s="210">
        <f t="shared" si="42"/>
        <v>2.2879276757372602</v>
      </c>
      <c r="AJ64" s="210"/>
      <c r="AK64" s="210">
        <f t="shared" si="43"/>
        <v>2.3565655060093778</v>
      </c>
    </row>
    <row r="65" spans="1:41" x14ac:dyDescent="0.35">
      <c r="A65" s="168">
        <f t="shared" si="25"/>
        <v>59</v>
      </c>
      <c r="B65" s="169"/>
      <c r="C65" s="173">
        <f t="shared" si="26"/>
        <v>1</v>
      </c>
      <c r="D65" s="171"/>
      <c r="E65" s="168" t="str">
        <f t="shared" si="27"/>
        <v>x</v>
      </c>
      <c r="F65" s="169"/>
      <c r="G65" s="169" t="str">
        <f t="shared" si="28"/>
        <v>x</v>
      </c>
      <c r="H65" s="169"/>
      <c r="I65" s="208">
        <f t="shared" si="44"/>
        <v>1.5579674166007644</v>
      </c>
      <c r="J65" s="208"/>
      <c r="K65" s="208">
        <f t="shared" si="45"/>
        <v>1.6047064390987871</v>
      </c>
      <c r="L65" s="208"/>
      <c r="M65" s="208">
        <f t="shared" si="31"/>
        <v>1.6528476322717507</v>
      </c>
      <c r="N65" s="208"/>
      <c r="O65" s="208">
        <f t="shared" si="32"/>
        <v>1.7024330612399032</v>
      </c>
      <c r="P65" s="208"/>
      <c r="Q65" s="208">
        <f t="shared" si="33"/>
        <v>1.7535060530771003</v>
      </c>
      <c r="R65" s="208"/>
      <c r="S65" s="208">
        <f t="shared" si="34"/>
        <v>1.8061112346694133</v>
      </c>
      <c r="T65" s="208"/>
      <c r="U65" s="208">
        <f t="shared" si="35"/>
        <v>1.8602945717094954</v>
      </c>
      <c r="V65" s="208"/>
      <c r="W65" s="208">
        <f t="shared" si="36"/>
        <v>1.9161034088607805</v>
      </c>
      <c r="X65" s="208"/>
      <c r="Y65" s="208">
        <f t="shared" si="37"/>
        <v>1.973586511126604</v>
      </c>
      <c r="Z65" s="208"/>
      <c r="AA65" s="208">
        <f t="shared" si="38"/>
        <v>2.0327941064604018</v>
      </c>
      <c r="AB65" s="208"/>
      <c r="AC65" s="208">
        <f t="shared" si="39"/>
        <v>2.0937779296542138</v>
      </c>
      <c r="AD65" s="208"/>
      <c r="AE65" s="208">
        <f t="shared" si="40"/>
        <v>2.1565912675438406</v>
      </c>
      <c r="AF65" s="208"/>
      <c r="AG65" s="208">
        <f t="shared" si="41"/>
        <v>2.2212890055701555</v>
      </c>
      <c r="AH65" s="208"/>
      <c r="AI65" s="208">
        <f t="shared" si="42"/>
        <v>2.2879276757372602</v>
      </c>
      <c r="AJ65" s="208"/>
      <c r="AK65" s="208">
        <f t="shared" si="43"/>
        <v>2.3565655060093778</v>
      </c>
    </row>
    <row r="66" spans="1:41" x14ac:dyDescent="0.35">
      <c r="A66" s="168">
        <f t="shared" si="25"/>
        <v>60</v>
      </c>
      <c r="B66" s="169"/>
      <c r="C66" s="173">
        <f t="shared" si="26"/>
        <v>1</v>
      </c>
      <c r="D66" s="171"/>
      <c r="E66" s="168" t="str">
        <f t="shared" si="27"/>
        <v>x</v>
      </c>
      <c r="F66" s="169"/>
      <c r="G66" s="187" t="str">
        <f t="shared" si="28"/>
        <v>x</v>
      </c>
      <c r="H66" s="169"/>
      <c r="I66" s="208">
        <f t="shared" si="44"/>
        <v>1.5579674166007644</v>
      </c>
      <c r="J66" s="208"/>
      <c r="K66" s="208">
        <f t="shared" si="45"/>
        <v>1.6047064390987871</v>
      </c>
      <c r="L66" s="208"/>
      <c r="M66" s="208">
        <f t="shared" si="31"/>
        <v>1.6528476322717507</v>
      </c>
      <c r="N66" s="208"/>
      <c r="O66" s="208">
        <f t="shared" si="32"/>
        <v>1.7024330612399032</v>
      </c>
      <c r="P66" s="208"/>
      <c r="Q66" s="208">
        <f t="shared" si="33"/>
        <v>1.7535060530771003</v>
      </c>
      <c r="R66" s="208"/>
      <c r="S66" s="208">
        <f t="shared" si="34"/>
        <v>1.8061112346694133</v>
      </c>
      <c r="T66" s="208"/>
      <c r="U66" s="208">
        <f t="shared" si="35"/>
        <v>1.8602945717094954</v>
      </c>
      <c r="V66" s="208"/>
      <c r="W66" s="208">
        <f t="shared" si="36"/>
        <v>1.9161034088607805</v>
      </c>
      <c r="X66" s="208"/>
      <c r="Y66" s="208">
        <f t="shared" si="37"/>
        <v>1.973586511126604</v>
      </c>
      <c r="Z66" s="208"/>
      <c r="AA66" s="208">
        <f t="shared" si="38"/>
        <v>2.0327941064604018</v>
      </c>
      <c r="AB66" s="208"/>
      <c r="AC66" s="208">
        <f t="shared" si="39"/>
        <v>2.0937779296542138</v>
      </c>
      <c r="AD66" s="208"/>
      <c r="AE66" s="208">
        <f t="shared" si="40"/>
        <v>2.1565912675438406</v>
      </c>
      <c r="AF66" s="208"/>
      <c r="AG66" s="208">
        <f t="shared" si="41"/>
        <v>2.2212890055701555</v>
      </c>
      <c r="AH66" s="208"/>
      <c r="AI66" s="208">
        <f t="shared" si="42"/>
        <v>2.2879276757372602</v>
      </c>
      <c r="AJ66" s="208"/>
      <c r="AK66" s="208">
        <f t="shared" si="43"/>
        <v>2.3565655060093778</v>
      </c>
    </row>
    <row r="67" spans="1:41" x14ac:dyDescent="0.35">
      <c r="A67" s="168">
        <f t="shared" si="25"/>
        <v>61</v>
      </c>
      <c r="B67" s="169"/>
      <c r="C67" s="173">
        <f>+C34</f>
        <v>1</v>
      </c>
      <c r="D67" s="171"/>
      <c r="E67" s="168" t="str">
        <f>+E34</f>
        <v>x</v>
      </c>
      <c r="F67" s="169"/>
      <c r="G67" s="169" t="str">
        <f>+G34</f>
        <v>x</v>
      </c>
      <c r="H67" s="169"/>
      <c r="I67" s="208">
        <f t="shared" si="44"/>
        <v>1.5579674166007644</v>
      </c>
      <c r="J67" s="208"/>
      <c r="K67" s="208">
        <f t="shared" si="45"/>
        <v>1.6047064390987871</v>
      </c>
      <c r="L67" s="208"/>
      <c r="M67" s="208">
        <f t="shared" si="31"/>
        <v>1.6528476322717507</v>
      </c>
      <c r="N67" s="208"/>
      <c r="O67" s="208">
        <f t="shared" si="32"/>
        <v>1.7024330612399032</v>
      </c>
      <c r="P67" s="208"/>
      <c r="Q67" s="208">
        <f t="shared" si="33"/>
        <v>1.7535060530771003</v>
      </c>
      <c r="R67" s="208"/>
      <c r="S67" s="208">
        <f t="shared" si="34"/>
        <v>1.8061112346694133</v>
      </c>
      <c r="T67" s="208"/>
      <c r="U67" s="208">
        <f t="shared" si="35"/>
        <v>1.8602945717094954</v>
      </c>
      <c r="V67" s="208"/>
      <c r="W67" s="208">
        <f t="shared" si="36"/>
        <v>1.9161034088607805</v>
      </c>
      <c r="X67" s="208"/>
      <c r="Y67" s="208">
        <f t="shared" si="37"/>
        <v>1.973586511126604</v>
      </c>
      <c r="Z67" s="208"/>
      <c r="AA67" s="208">
        <f t="shared" si="38"/>
        <v>2.0327941064604018</v>
      </c>
      <c r="AB67" s="208"/>
      <c r="AC67" s="208">
        <f t="shared" si="39"/>
        <v>2.0937779296542138</v>
      </c>
      <c r="AD67" s="208"/>
      <c r="AE67" s="208">
        <f t="shared" si="40"/>
        <v>2.1565912675438406</v>
      </c>
      <c r="AF67" s="208"/>
      <c r="AG67" s="208">
        <f t="shared" si="41"/>
        <v>2.2212890055701555</v>
      </c>
      <c r="AH67" s="208"/>
      <c r="AI67" s="208">
        <f t="shared" si="42"/>
        <v>2.2879276757372602</v>
      </c>
      <c r="AJ67" s="208"/>
      <c r="AK67" s="208">
        <f t="shared" si="43"/>
        <v>2.3565655060093778</v>
      </c>
    </row>
    <row r="68" spans="1:41" x14ac:dyDescent="0.35">
      <c r="A68" s="135">
        <f t="shared" si="25"/>
        <v>62</v>
      </c>
      <c r="C68" s="177">
        <f>+C35</f>
        <v>1</v>
      </c>
      <c r="E68" s="135" t="str">
        <f>+E35</f>
        <v>x</v>
      </c>
      <c r="G68" s="136" t="str">
        <f>+G35</f>
        <v>x</v>
      </c>
      <c r="I68" s="210">
        <f>FV($U$6,AY$9,,-$S35,0)</f>
        <v>1.5579674166007644</v>
      </c>
      <c r="J68" s="210"/>
      <c r="K68" s="210">
        <f t="shared" si="45"/>
        <v>1.6047064390987871</v>
      </c>
      <c r="L68" s="210"/>
      <c r="M68" s="210">
        <f t="shared" si="31"/>
        <v>1.6528476322717507</v>
      </c>
      <c r="N68" s="210"/>
      <c r="O68" s="210">
        <f t="shared" si="32"/>
        <v>1.7024330612399032</v>
      </c>
      <c r="P68" s="210"/>
      <c r="Q68" s="210">
        <f t="shared" si="33"/>
        <v>1.7535060530771003</v>
      </c>
      <c r="R68" s="210"/>
      <c r="S68" s="210">
        <f t="shared" si="34"/>
        <v>1.8061112346694133</v>
      </c>
      <c r="T68" s="210"/>
      <c r="U68" s="210">
        <f t="shared" si="35"/>
        <v>1.8602945717094954</v>
      </c>
      <c r="V68" s="210"/>
      <c r="W68" s="210">
        <f t="shared" si="36"/>
        <v>1.9161034088607805</v>
      </c>
      <c r="X68" s="210"/>
      <c r="Y68" s="210">
        <f t="shared" si="37"/>
        <v>1.973586511126604</v>
      </c>
      <c r="Z68" s="210"/>
      <c r="AA68" s="210">
        <f t="shared" si="38"/>
        <v>2.0327941064604018</v>
      </c>
      <c r="AB68" s="210"/>
      <c r="AC68" s="210">
        <f t="shared" si="39"/>
        <v>2.0937779296542138</v>
      </c>
      <c r="AD68" s="210"/>
      <c r="AE68" s="210">
        <f t="shared" si="40"/>
        <v>2.1565912675438406</v>
      </c>
      <c r="AF68" s="210"/>
      <c r="AG68" s="210">
        <f t="shared" si="41"/>
        <v>2.2212890055701555</v>
      </c>
      <c r="AH68" s="210"/>
      <c r="AI68" s="210">
        <f t="shared" si="42"/>
        <v>2.2879276757372602</v>
      </c>
      <c r="AJ68" s="210"/>
      <c r="AK68" s="210">
        <f>FV($U$6,AI$42,,-$S35,0)</f>
        <v>2.3565655060093778</v>
      </c>
    </row>
    <row r="69" spans="1:41" x14ac:dyDescent="0.35"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/>
      <c r="AG69" s="210"/>
      <c r="AH69" s="210"/>
      <c r="AI69" s="210"/>
      <c r="AJ69" s="210"/>
      <c r="AK69" s="210"/>
    </row>
    <row r="70" spans="1:41" x14ac:dyDescent="0.35">
      <c r="C70" s="135"/>
      <c r="I70" s="215"/>
      <c r="J70" s="210"/>
      <c r="K70" s="215"/>
      <c r="L70" s="210"/>
      <c r="M70" s="215"/>
      <c r="N70" s="210"/>
      <c r="O70" s="215"/>
      <c r="P70" s="210"/>
      <c r="Q70" s="215"/>
      <c r="R70" s="210"/>
      <c r="S70" s="215"/>
      <c r="T70" s="210"/>
      <c r="U70" s="215"/>
      <c r="V70" s="210"/>
      <c r="W70" s="215"/>
      <c r="X70" s="210"/>
      <c r="Y70" s="215"/>
      <c r="Z70" s="210"/>
      <c r="AA70" s="215"/>
      <c r="AB70" s="210"/>
      <c r="AC70" s="215"/>
      <c r="AD70" s="210"/>
      <c r="AE70" s="215"/>
      <c r="AF70" s="210"/>
      <c r="AG70" s="215"/>
      <c r="AH70" s="210"/>
      <c r="AI70" s="215"/>
      <c r="AJ70" s="210"/>
      <c r="AK70" s="215"/>
    </row>
    <row r="71" spans="1:41" ht="23.25" customHeight="1" thickBot="1" x14ac:dyDescent="0.4">
      <c r="C71" s="135"/>
      <c r="G71" s="141" t="str">
        <f>+G38</f>
        <v>Anticipated Expenditures, By Year</v>
      </c>
      <c r="I71" s="216">
        <f>SUM(I47:I69)</f>
        <v>34.27528316521682</v>
      </c>
      <c r="J71" s="217"/>
      <c r="K71" s="216">
        <f>SUM(K47:K69)</f>
        <v>35.303541660173316</v>
      </c>
      <c r="L71" s="217"/>
      <c r="M71" s="216">
        <f>SUM(M47:M69)</f>
        <v>36.362647909978513</v>
      </c>
      <c r="N71" s="217"/>
      <c r="O71" s="216">
        <f>SUM(O47:O69)</f>
        <v>37.453527347277877</v>
      </c>
      <c r="P71" s="217"/>
      <c r="Q71" s="216">
        <f>SUM(Q47:Q69)</f>
        <v>38.577133167696211</v>
      </c>
      <c r="R71" s="217"/>
      <c r="S71" s="216">
        <f>SUM(S47:S69)</f>
        <v>39.734447162727093</v>
      </c>
      <c r="T71" s="217"/>
      <c r="U71" s="216">
        <f>SUM(U47:U69)</f>
        <v>40.926480577608899</v>
      </c>
      <c r="V71" s="217"/>
      <c r="W71" s="216">
        <f>SUM(W47:W69)</f>
        <v>42.154274994937168</v>
      </c>
      <c r="X71" s="217"/>
      <c r="Y71" s="216">
        <f>SUM(Y47:Y69)</f>
        <v>43.418903244785298</v>
      </c>
      <c r="Z71" s="217"/>
      <c r="AA71" s="216">
        <f>SUM(AA47:AA69)</f>
        <v>44.721470342128825</v>
      </c>
      <c r="AB71" s="217"/>
      <c r="AC71" s="216">
        <f>SUM(AC47:AC69)</f>
        <v>46.063114452392711</v>
      </c>
      <c r="AD71" s="217"/>
      <c r="AE71" s="216">
        <f>SUM(AE47:AE69)</f>
        <v>47.445007885964486</v>
      </c>
      <c r="AF71" s="217"/>
      <c r="AG71" s="216">
        <f>SUM(AG47:AG69)</f>
        <v>48.868358122543434</v>
      </c>
      <c r="AH71" s="217"/>
      <c r="AI71" s="216">
        <f>SUM(AI47:AI69)</f>
        <v>50.334408866219711</v>
      </c>
      <c r="AJ71" s="217"/>
      <c r="AK71" s="216">
        <f>SUM(AK47:AK69)</f>
        <v>51.844441132206285</v>
      </c>
      <c r="AM71" s="178"/>
      <c r="AO71" s="178"/>
    </row>
    <row r="72" spans="1:41" ht="24" thickTop="1" x14ac:dyDescent="0.35">
      <c r="C72" s="135"/>
      <c r="I72" s="178"/>
      <c r="J72" s="178"/>
      <c r="K72" s="178"/>
      <c r="L72" s="178"/>
      <c r="M72" s="178"/>
      <c r="N72" s="178"/>
      <c r="O72" s="178"/>
      <c r="P72" s="178"/>
      <c r="Q72" s="178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</row>
    <row r="77" spans="1:41" ht="9.9499999999999993" customHeight="1" x14ac:dyDescent="0.35"/>
  </sheetData>
  <mergeCells count="8">
    <mergeCell ref="U9:U10"/>
    <mergeCell ref="A42:A43"/>
    <mergeCell ref="A9:A10"/>
    <mergeCell ref="I9:I10"/>
    <mergeCell ref="K9:M9"/>
    <mergeCell ref="O9:O10"/>
    <mergeCell ref="Q9:Q10"/>
    <mergeCell ref="S9:S10"/>
  </mergeCells>
  <pageMargins left="0.7" right="0.7" top="0.75" bottom="0.75" header="0.3" footer="0.3"/>
  <pageSetup scale="14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98E6-500F-4C3D-8D48-31B9B1FE5CBD}">
  <sheetPr>
    <pageSetUpPr fitToPage="1"/>
  </sheetPr>
  <dimension ref="B1:BA114"/>
  <sheetViews>
    <sheetView zoomScale="32" zoomScaleNormal="32" zoomScaleSheetLayoutView="32" zoomScalePageLayoutView="25" workbookViewId="0">
      <selection activeCell="R6" sqref="R6:R7"/>
    </sheetView>
  </sheetViews>
  <sheetFormatPr defaultRowHeight="23.25" x14ac:dyDescent="0.35"/>
  <cols>
    <col min="1" max="1" width="10" style="136" customWidth="1"/>
    <col min="2" max="2" width="6.7109375" style="135" customWidth="1"/>
    <col min="3" max="3" width="1.7109375" style="136" customWidth="1"/>
    <col min="4" max="4" width="17.85546875" style="178" bestFit="1" customWidth="1"/>
    <col min="5" max="5" width="1.7109375" style="138" customWidth="1"/>
    <col min="6" max="6" width="20.7109375" style="135" bestFit="1" customWidth="1"/>
    <col min="7" max="7" width="1.7109375" style="136" customWidth="1"/>
    <col min="8" max="8" width="126.85546875" style="136" customWidth="1"/>
    <col min="9" max="9" width="1.7109375" style="136" customWidth="1"/>
    <col min="10" max="10" width="17.42578125" style="135" customWidth="1"/>
    <col min="11" max="11" width="2.140625" style="136" customWidth="1"/>
    <col min="12" max="12" width="16.5703125" style="135" customWidth="1"/>
    <col min="13" max="13" width="2.28515625" style="136" customWidth="1"/>
    <col min="14" max="14" width="18.7109375" style="135" bestFit="1" customWidth="1"/>
    <col min="15" max="15" width="1.7109375" style="136" customWidth="1"/>
    <col min="16" max="16" width="24.5703125" style="139" customWidth="1"/>
    <col min="17" max="17" width="1.7109375" style="136" customWidth="1"/>
    <col min="18" max="18" width="17.42578125" style="140" customWidth="1"/>
    <col min="19" max="19" width="1.7109375" style="136" customWidth="1"/>
    <col min="20" max="20" width="21.42578125" style="141" customWidth="1"/>
    <col min="21" max="21" width="1.7109375" style="141" customWidth="1"/>
    <col min="22" max="22" width="21.7109375" style="136" customWidth="1"/>
    <col min="23" max="23" width="1.7109375" style="136" customWidth="1"/>
    <col min="24" max="24" width="19.28515625" style="136" bestFit="1" customWidth="1"/>
    <col min="25" max="25" width="1.7109375" style="136" customWidth="1"/>
    <col min="26" max="26" width="19.140625" style="136" customWidth="1"/>
    <col min="27" max="27" width="1.7109375" style="136" customWidth="1"/>
    <col min="28" max="28" width="19.28515625" style="136" bestFit="1" customWidth="1"/>
    <col min="29" max="29" width="1.7109375" style="136" customWidth="1"/>
    <col min="30" max="30" width="19.28515625" style="136" bestFit="1" customWidth="1"/>
    <col min="31" max="31" width="1.7109375" style="136" customWidth="1"/>
    <col min="32" max="32" width="19.28515625" style="136" bestFit="1" customWidth="1"/>
    <col min="33" max="33" width="1.7109375" style="136" customWidth="1"/>
    <col min="34" max="34" width="19.28515625" style="136" bestFit="1" customWidth="1"/>
    <col min="35" max="35" width="1.7109375" style="136" customWidth="1"/>
    <col min="36" max="36" width="19.28515625" style="136" bestFit="1" customWidth="1"/>
    <col min="37" max="37" width="1.7109375" style="136" customWidth="1"/>
    <col min="38" max="38" width="19.28515625" style="136" bestFit="1" customWidth="1"/>
    <col min="39" max="39" width="1.7109375" style="136" customWidth="1"/>
    <col min="40" max="40" width="18.28515625" style="136" bestFit="1" customWidth="1"/>
    <col min="41" max="41" width="1.7109375" style="136" customWidth="1"/>
    <col min="42" max="42" width="18.28515625" style="136" bestFit="1" customWidth="1"/>
    <col min="43" max="43" width="1.7109375" style="136" customWidth="1"/>
    <col min="44" max="44" width="17.140625" style="136" bestFit="1" customWidth="1"/>
    <col min="45" max="45" width="1.7109375" style="136" customWidth="1"/>
    <col min="46" max="46" width="15.140625" style="136" bestFit="1" customWidth="1"/>
    <col min="47" max="47" width="1.7109375" style="136" customWidth="1"/>
    <col min="48" max="48" width="19.140625" style="136" bestFit="1" customWidth="1"/>
    <col min="49" max="49" width="1.7109375" style="136" customWidth="1"/>
    <col min="50" max="50" width="17.140625" style="136" bestFit="1" customWidth="1"/>
    <col min="51" max="51" width="1.7109375" style="136" customWidth="1"/>
    <col min="52" max="52" width="19.140625" style="136" bestFit="1" customWidth="1"/>
    <col min="53" max="53" width="1.7109375" style="136" customWidth="1"/>
    <col min="54" max="16384" width="9.140625" style="136"/>
  </cols>
  <sheetData>
    <row r="1" spans="2:53" ht="23.45" customHeight="1" x14ac:dyDescent="0.35">
      <c r="D1" s="137"/>
      <c r="H1" s="142" t="s">
        <v>31</v>
      </c>
    </row>
    <row r="2" spans="2:53" x14ac:dyDescent="0.35">
      <c r="D2" s="143"/>
      <c r="V2" s="145" t="s">
        <v>10</v>
      </c>
    </row>
    <row r="3" spans="2:53" x14ac:dyDescent="0.35">
      <c r="D3" s="137"/>
      <c r="H3" s="144" t="s">
        <v>8</v>
      </c>
      <c r="P3" s="235" t="s">
        <v>78</v>
      </c>
      <c r="U3" s="146" t="s">
        <v>11</v>
      </c>
      <c r="V3" s="147">
        <v>0.03</v>
      </c>
      <c r="W3" s="148" t="s">
        <v>13</v>
      </c>
    </row>
    <row r="4" spans="2:53" x14ac:dyDescent="0.35">
      <c r="D4" s="149"/>
      <c r="F4" s="150"/>
      <c r="G4" s="151"/>
      <c r="H4" s="142" t="s">
        <v>9</v>
      </c>
      <c r="I4" s="151"/>
      <c r="J4" s="150"/>
      <c r="P4" s="236">
        <f>'Roofs 1'!P4</f>
        <v>2023</v>
      </c>
      <c r="U4" s="146" t="s">
        <v>12</v>
      </c>
      <c r="V4" s="141" t="s">
        <v>17</v>
      </c>
    </row>
    <row r="5" spans="2:53" x14ac:dyDescent="0.35">
      <c r="D5" s="137"/>
      <c r="H5" s="152" t="str">
        <f>'Funding Plan'!G9</f>
        <v>Association</v>
      </c>
    </row>
    <row r="6" spans="2:53" s="141" customFormat="1" ht="28.5" customHeight="1" x14ac:dyDescent="0.35">
      <c r="B6" s="283" t="s">
        <v>0</v>
      </c>
      <c r="D6" s="153" t="s">
        <v>32</v>
      </c>
      <c r="E6" s="138"/>
      <c r="F6" s="142"/>
      <c r="J6" s="281" t="s">
        <v>22</v>
      </c>
      <c r="L6" s="285" t="s">
        <v>5</v>
      </c>
      <c r="M6" s="285"/>
      <c r="N6" s="285"/>
      <c r="P6" s="281" t="s">
        <v>21</v>
      </c>
      <c r="R6" s="286" t="s">
        <v>80</v>
      </c>
      <c r="T6" s="288" t="s">
        <v>81</v>
      </c>
      <c r="V6" s="281" t="s">
        <v>6</v>
      </c>
      <c r="W6" s="154"/>
      <c r="X6" s="142">
        <v>1</v>
      </c>
      <c r="Y6" s="142"/>
      <c r="Z6" s="142">
        <v>2</v>
      </c>
      <c r="AA6" s="142"/>
      <c r="AB6" s="142">
        <v>3</v>
      </c>
      <c r="AC6" s="142"/>
      <c r="AD6" s="142">
        <v>4</v>
      </c>
      <c r="AE6" s="142"/>
      <c r="AF6" s="142">
        <v>5</v>
      </c>
      <c r="AG6" s="142"/>
      <c r="AH6" s="142">
        <v>6</v>
      </c>
      <c r="AI6" s="142"/>
      <c r="AJ6" s="142">
        <v>7</v>
      </c>
      <c r="AK6" s="142"/>
      <c r="AL6" s="142">
        <v>8</v>
      </c>
      <c r="AM6" s="142"/>
      <c r="AN6" s="142">
        <v>9</v>
      </c>
      <c r="AO6" s="142"/>
      <c r="AP6" s="142">
        <v>10</v>
      </c>
      <c r="AQ6" s="142"/>
      <c r="AR6" s="142">
        <v>11</v>
      </c>
      <c r="AS6" s="142"/>
      <c r="AT6" s="142">
        <v>12</v>
      </c>
      <c r="AU6" s="142"/>
      <c r="AV6" s="142">
        <v>13</v>
      </c>
      <c r="AW6" s="142"/>
      <c r="AX6" s="142">
        <v>14</v>
      </c>
      <c r="AY6" s="142"/>
      <c r="AZ6" s="142">
        <v>15</v>
      </c>
      <c r="BA6" s="142"/>
    </row>
    <row r="7" spans="2:53" s="155" customFormat="1" ht="27.75" customHeight="1" x14ac:dyDescent="0.25">
      <c r="B7" s="284"/>
      <c r="D7" s="156" t="s">
        <v>30</v>
      </c>
      <c r="E7" s="157"/>
      <c r="F7" s="158" t="s">
        <v>1</v>
      </c>
      <c r="H7" s="158" t="s">
        <v>2</v>
      </c>
      <c r="J7" s="282"/>
      <c r="L7" s="158" t="s">
        <v>3</v>
      </c>
      <c r="N7" s="278" t="s">
        <v>4</v>
      </c>
      <c r="P7" s="282"/>
      <c r="R7" s="287"/>
      <c r="T7" s="289"/>
      <c r="V7" s="282"/>
      <c r="W7" s="154"/>
      <c r="X7" s="160">
        <v>2024</v>
      </c>
      <c r="Y7" s="158"/>
      <c r="Z7" s="158">
        <f t="shared" ref="Z7:AZ7" si="0">X7+1</f>
        <v>2025</v>
      </c>
      <c r="AA7" s="158">
        <f t="shared" si="0"/>
        <v>1</v>
      </c>
      <c r="AB7" s="158">
        <f t="shared" si="0"/>
        <v>2026</v>
      </c>
      <c r="AC7" s="158">
        <f t="shared" si="0"/>
        <v>2</v>
      </c>
      <c r="AD7" s="158">
        <f t="shared" si="0"/>
        <v>2027</v>
      </c>
      <c r="AE7" s="158">
        <f t="shared" si="0"/>
        <v>3</v>
      </c>
      <c r="AF7" s="158">
        <f t="shared" si="0"/>
        <v>2028</v>
      </c>
      <c r="AG7" s="158">
        <f t="shared" si="0"/>
        <v>4</v>
      </c>
      <c r="AH7" s="158">
        <f t="shared" si="0"/>
        <v>2029</v>
      </c>
      <c r="AI7" s="158">
        <f t="shared" si="0"/>
        <v>5</v>
      </c>
      <c r="AJ7" s="158">
        <f t="shared" si="0"/>
        <v>2030</v>
      </c>
      <c r="AK7" s="158">
        <f t="shared" si="0"/>
        <v>6</v>
      </c>
      <c r="AL7" s="158">
        <f t="shared" si="0"/>
        <v>2031</v>
      </c>
      <c r="AM7" s="158">
        <f t="shared" si="0"/>
        <v>7</v>
      </c>
      <c r="AN7" s="158">
        <f t="shared" si="0"/>
        <v>2032</v>
      </c>
      <c r="AO7" s="158">
        <f t="shared" si="0"/>
        <v>8</v>
      </c>
      <c r="AP7" s="158">
        <f t="shared" si="0"/>
        <v>2033</v>
      </c>
      <c r="AQ7" s="158">
        <f t="shared" si="0"/>
        <v>9</v>
      </c>
      <c r="AR7" s="158">
        <f t="shared" si="0"/>
        <v>2034</v>
      </c>
      <c r="AS7" s="158">
        <f t="shared" si="0"/>
        <v>10</v>
      </c>
      <c r="AT7" s="158">
        <f t="shared" si="0"/>
        <v>2035</v>
      </c>
      <c r="AU7" s="158">
        <f t="shared" si="0"/>
        <v>11</v>
      </c>
      <c r="AV7" s="158">
        <f t="shared" si="0"/>
        <v>2036</v>
      </c>
      <c r="AW7" s="158">
        <f t="shared" si="0"/>
        <v>12</v>
      </c>
      <c r="AX7" s="158">
        <f t="shared" si="0"/>
        <v>2037</v>
      </c>
      <c r="AY7" s="158">
        <f t="shared" si="0"/>
        <v>13</v>
      </c>
      <c r="AZ7" s="158">
        <f t="shared" si="0"/>
        <v>2038</v>
      </c>
    </row>
    <row r="8" spans="2:53" s="155" customFormat="1" ht="9.4" customHeight="1" x14ac:dyDescent="0.25">
      <c r="B8" s="154"/>
      <c r="D8" s="161"/>
      <c r="E8" s="157"/>
      <c r="F8" s="154"/>
      <c r="H8" s="154"/>
      <c r="J8" s="154"/>
      <c r="L8" s="154"/>
      <c r="N8" s="154"/>
      <c r="R8" s="162"/>
      <c r="T8" s="163"/>
      <c r="V8" s="154"/>
      <c r="W8" s="154"/>
    </row>
    <row r="9" spans="2:53" x14ac:dyDescent="0.35">
      <c r="D9" s="137"/>
      <c r="H9" s="164" t="s">
        <v>79</v>
      </c>
      <c r="P9" s="136"/>
      <c r="R9" s="139"/>
      <c r="T9" s="140"/>
      <c r="U9" s="136"/>
      <c r="V9" s="141"/>
      <c r="W9" s="141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</row>
    <row r="10" spans="2:53" ht="9.4" customHeight="1" x14ac:dyDescent="0.35">
      <c r="D10" s="137"/>
      <c r="H10" s="144"/>
      <c r="P10" s="136"/>
      <c r="R10" s="165"/>
      <c r="S10" s="135"/>
      <c r="T10" s="166"/>
      <c r="U10" s="135"/>
      <c r="V10" s="142"/>
      <c r="W10" s="141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</row>
    <row r="11" spans="2:53" x14ac:dyDescent="0.35">
      <c r="B11" s="168">
        <v>1</v>
      </c>
      <c r="C11" s="169"/>
      <c r="D11" s="170">
        <v>1</v>
      </c>
      <c r="E11" s="171"/>
      <c r="F11" s="168" t="s">
        <v>45</v>
      </c>
      <c r="G11" s="169"/>
      <c r="H11" s="169" t="s">
        <v>45</v>
      </c>
      <c r="I11" s="169"/>
      <c r="J11" s="168">
        <v>1</v>
      </c>
      <c r="K11" s="169">
        <v>23</v>
      </c>
      <c r="L11" s="168">
        <v>1</v>
      </c>
      <c r="M11" s="169"/>
      <c r="N11" s="241">
        <f>P11-O11</f>
        <v>-1999</v>
      </c>
      <c r="O11" s="237">
        <f>P4</f>
        <v>2023</v>
      </c>
      <c r="P11" s="234">
        <f>J11+K11</f>
        <v>24</v>
      </c>
      <c r="Q11" s="169"/>
      <c r="R11" s="172">
        <v>1</v>
      </c>
      <c r="S11" s="173"/>
      <c r="T11" s="174">
        <f>D11*R11</f>
        <v>1</v>
      </c>
      <c r="U11" s="174"/>
      <c r="V11" s="175">
        <f t="shared" ref="V11:V50" si="1">SUM(X11:AZ11)+SUM(J61:AL61)</f>
        <v>0</v>
      </c>
      <c r="W11" s="175"/>
      <c r="X11" s="174">
        <f>IF(X$6=$N11,FV($V$3,$N11-1,,-$T11,0),0)</f>
        <v>0</v>
      </c>
      <c r="Y11" s="175"/>
      <c r="Z11" s="174">
        <f t="shared" ref="Z11:Z50" si="2">IF(Z$6=$N11,FV($V$3,$N11-1,,-$T11,0),0)</f>
        <v>0</v>
      </c>
      <c r="AA11" s="175"/>
      <c r="AB11" s="174">
        <f t="shared" ref="AB11:AB50" si="3">IF(AB$6=$N11,FV($V$3,$N11-1,,-$T11,0),0)</f>
        <v>0</v>
      </c>
      <c r="AC11" s="175"/>
      <c r="AD11" s="174">
        <f t="shared" ref="AD11:AD50" si="4">IF(AD$6=$N11,FV($V$3,$N11-1,,-$T11,0),0)</f>
        <v>0</v>
      </c>
      <c r="AE11" s="175"/>
      <c r="AF11" s="174">
        <f t="shared" ref="AF11:AF50" si="5">IF(AF$6=$N11,FV($V$3,$N11-1,,-$T11,0),0)</f>
        <v>0</v>
      </c>
      <c r="AG11" s="175"/>
      <c r="AH11" s="174">
        <f t="shared" ref="AH11:AH50" si="6">IF(AH$6=$N11,FV($V$3,$N11-1,,-$T11,0),0)</f>
        <v>0</v>
      </c>
      <c r="AI11" s="175"/>
      <c r="AJ11" s="174">
        <f t="shared" ref="AJ11:AJ50" si="7">IF(AJ$6=$N11,FV($V$3,$N11-1,,-$T11,0),0)</f>
        <v>0</v>
      </c>
      <c r="AK11" s="175"/>
      <c r="AL11" s="174">
        <f t="shared" ref="AL11:AL50" si="8">IF(AL$6=$N11,FV($V$3,$N11-1,,-$T11,0),0)</f>
        <v>0</v>
      </c>
      <c r="AM11" s="175"/>
      <c r="AN11" s="174">
        <f t="shared" ref="AN11:AN50" si="9">IF(AN$6=$N11,FV($V$3,$N11-1,,-$T11,0),0)</f>
        <v>0</v>
      </c>
      <c r="AO11" s="175"/>
      <c r="AP11" s="174">
        <f t="shared" ref="AP11:AP50" si="10">IF(AP$6=$N11,FV($V$3,$N11-1,,-$T11,0),0)</f>
        <v>0</v>
      </c>
      <c r="AQ11" s="175"/>
      <c r="AR11" s="174">
        <f t="shared" ref="AR11:AR50" si="11">IF(AR$6=$N11,FV($V$3,$N11-1,,-$T11,0),0)</f>
        <v>0</v>
      </c>
      <c r="AS11" s="175"/>
      <c r="AT11" s="174">
        <f t="shared" ref="AT11:AT50" si="12">IF(AT$6=$N11,FV($V$3,$N11-1,,-$T11,0),0)</f>
        <v>0</v>
      </c>
      <c r="AU11" s="175"/>
      <c r="AV11" s="174">
        <f t="shared" ref="AV11:AV50" si="13">IF(AV$6=$N11,FV($V$3,$N11-1,,-$T11,0),0)</f>
        <v>0</v>
      </c>
      <c r="AW11" s="175"/>
      <c r="AX11" s="174">
        <f t="shared" ref="AX11:AX50" si="14">IF(AX$6=$N11,FV($V$3,$N11-1,,-$T11,0),0)</f>
        <v>0</v>
      </c>
      <c r="AY11" s="175"/>
      <c r="AZ11" s="174">
        <f t="shared" ref="AZ11:AZ50" si="15">IF(AZ$6=$N11,FV($V$3,$N11-1,,-$T11,0),0)</f>
        <v>0</v>
      </c>
    </row>
    <row r="12" spans="2:53" x14ac:dyDescent="0.35">
      <c r="B12" s="168">
        <f>+B11+1</f>
        <v>2</v>
      </c>
      <c r="C12" s="169"/>
      <c r="D12" s="170">
        <v>1</v>
      </c>
      <c r="E12" s="171"/>
      <c r="F12" s="168" t="str">
        <f>F11</f>
        <v>x</v>
      </c>
      <c r="G12" s="169"/>
      <c r="H12" s="169" t="s">
        <v>45</v>
      </c>
      <c r="I12" s="169"/>
      <c r="J12" s="168">
        <v>1</v>
      </c>
      <c r="K12" s="169">
        <v>23</v>
      </c>
      <c r="L12" s="168">
        <f>L11</f>
        <v>1</v>
      </c>
      <c r="M12" s="169"/>
      <c r="N12" s="241">
        <f t="shared" ref="N12:N50" si="16">P12-O12</f>
        <v>-1999</v>
      </c>
      <c r="O12" s="237">
        <f t="shared" ref="O12:O50" si="17">O11</f>
        <v>2023</v>
      </c>
      <c r="P12" s="234">
        <f t="shared" ref="P12:P50" si="18">J12+K12</f>
        <v>24</v>
      </c>
      <c r="Q12" s="169"/>
      <c r="R12" s="172">
        <f>R11</f>
        <v>1</v>
      </c>
      <c r="S12" s="173"/>
      <c r="T12" s="174">
        <f t="shared" ref="T12:T50" si="19">D12*R12</f>
        <v>1</v>
      </c>
      <c r="U12" s="174"/>
      <c r="V12" s="175">
        <f t="shared" si="1"/>
        <v>0</v>
      </c>
      <c r="W12" s="171"/>
      <c r="X12" s="174">
        <f t="shared" ref="X12:X50" si="20">IF(X$6=$N12,FV($V$3,$N12-1,,-$T12,0),0)</f>
        <v>0</v>
      </c>
      <c r="Y12" s="174"/>
      <c r="Z12" s="174">
        <f t="shared" si="2"/>
        <v>0</v>
      </c>
      <c r="AA12" s="174"/>
      <c r="AB12" s="174">
        <f t="shared" si="3"/>
        <v>0</v>
      </c>
      <c r="AC12" s="174"/>
      <c r="AD12" s="174">
        <f t="shared" si="4"/>
        <v>0</v>
      </c>
      <c r="AE12" s="174"/>
      <c r="AF12" s="174">
        <f t="shared" si="5"/>
        <v>0</v>
      </c>
      <c r="AG12" s="174"/>
      <c r="AH12" s="174">
        <f t="shared" si="6"/>
        <v>0</v>
      </c>
      <c r="AI12" s="174"/>
      <c r="AJ12" s="174">
        <f t="shared" si="7"/>
        <v>0</v>
      </c>
      <c r="AK12" s="174"/>
      <c r="AL12" s="174">
        <f t="shared" si="8"/>
        <v>0</v>
      </c>
      <c r="AM12" s="174"/>
      <c r="AN12" s="174">
        <f t="shared" si="9"/>
        <v>0</v>
      </c>
      <c r="AO12" s="174"/>
      <c r="AP12" s="174">
        <f t="shared" si="10"/>
        <v>0</v>
      </c>
      <c r="AQ12" s="174"/>
      <c r="AR12" s="174">
        <f t="shared" si="11"/>
        <v>0</v>
      </c>
      <c r="AS12" s="174"/>
      <c r="AT12" s="174">
        <f t="shared" si="12"/>
        <v>0</v>
      </c>
      <c r="AU12" s="174"/>
      <c r="AV12" s="174">
        <f t="shared" si="13"/>
        <v>0</v>
      </c>
      <c r="AW12" s="174"/>
      <c r="AX12" s="174">
        <f t="shared" si="14"/>
        <v>0</v>
      </c>
      <c r="AY12" s="174"/>
      <c r="AZ12" s="174">
        <f t="shared" si="15"/>
        <v>0</v>
      </c>
    </row>
    <row r="13" spans="2:53" x14ac:dyDescent="0.35">
      <c r="B13" s="168">
        <f>+B12+1</f>
        <v>3</v>
      </c>
      <c r="C13" s="169"/>
      <c r="D13" s="170">
        <v>1</v>
      </c>
      <c r="E13" s="171"/>
      <c r="F13" s="168" t="str">
        <f t="shared" ref="F13:F50" si="21">F12</f>
        <v>x</v>
      </c>
      <c r="G13" s="169"/>
      <c r="H13" s="169" t="s">
        <v>45</v>
      </c>
      <c r="I13" s="169"/>
      <c r="J13" s="168">
        <v>1</v>
      </c>
      <c r="K13" s="169">
        <v>23</v>
      </c>
      <c r="L13" s="168">
        <f t="shared" ref="L13:L50" si="22">L12</f>
        <v>1</v>
      </c>
      <c r="M13" s="169"/>
      <c r="N13" s="241">
        <f t="shared" si="16"/>
        <v>-1999</v>
      </c>
      <c r="O13" s="237">
        <f t="shared" si="17"/>
        <v>2023</v>
      </c>
      <c r="P13" s="234">
        <f t="shared" si="18"/>
        <v>24</v>
      </c>
      <c r="Q13" s="169"/>
      <c r="R13" s="172">
        <f t="shared" ref="R13:R50" si="23">R12</f>
        <v>1</v>
      </c>
      <c r="S13" s="173"/>
      <c r="T13" s="174">
        <f t="shared" si="19"/>
        <v>1</v>
      </c>
      <c r="U13" s="174"/>
      <c r="V13" s="175">
        <f t="shared" si="1"/>
        <v>0</v>
      </c>
      <c r="W13" s="171"/>
      <c r="X13" s="174">
        <f t="shared" si="20"/>
        <v>0</v>
      </c>
      <c r="Y13" s="174"/>
      <c r="Z13" s="174">
        <f t="shared" si="2"/>
        <v>0</v>
      </c>
      <c r="AA13" s="174"/>
      <c r="AB13" s="174">
        <f t="shared" si="3"/>
        <v>0</v>
      </c>
      <c r="AC13" s="174"/>
      <c r="AD13" s="174">
        <f t="shared" si="4"/>
        <v>0</v>
      </c>
      <c r="AE13" s="174"/>
      <c r="AF13" s="174">
        <f t="shared" si="5"/>
        <v>0</v>
      </c>
      <c r="AG13" s="174"/>
      <c r="AH13" s="174">
        <f t="shared" si="6"/>
        <v>0</v>
      </c>
      <c r="AI13" s="174"/>
      <c r="AJ13" s="174">
        <f t="shared" si="7"/>
        <v>0</v>
      </c>
      <c r="AK13" s="174"/>
      <c r="AL13" s="174">
        <f t="shared" si="8"/>
        <v>0</v>
      </c>
      <c r="AM13" s="174"/>
      <c r="AN13" s="174">
        <f t="shared" si="9"/>
        <v>0</v>
      </c>
      <c r="AO13" s="174"/>
      <c r="AP13" s="174">
        <f t="shared" si="10"/>
        <v>0</v>
      </c>
      <c r="AQ13" s="174"/>
      <c r="AR13" s="174">
        <f t="shared" si="11"/>
        <v>0</v>
      </c>
      <c r="AS13" s="174"/>
      <c r="AT13" s="174">
        <f t="shared" si="12"/>
        <v>0</v>
      </c>
      <c r="AU13" s="174"/>
      <c r="AV13" s="174">
        <f t="shared" si="13"/>
        <v>0</v>
      </c>
      <c r="AW13" s="174"/>
      <c r="AX13" s="174">
        <f t="shared" si="14"/>
        <v>0</v>
      </c>
      <c r="AY13" s="174"/>
      <c r="AZ13" s="174">
        <f t="shared" si="15"/>
        <v>0</v>
      </c>
    </row>
    <row r="14" spans="2:53" x14ac:dyDescent="0.35">
      <c r="B14" s="135">
        <f>+B13+1</f>
        <v>4</v>
      </c>
      <c r="D14" s="137">
        <v>1</v>
      </c>
      <c r="F14" s="135" t="str">
        <f t="shared" si="21"/>
        <v>x</v>
      </c>
      <c r="H14" s="136" t="s">
        <v>45</v>
      </c>
      <c r="J14" s="135">
        <v>1</v>
      </c>
      <c r="K14" s="136">
        <v>23</v>
      </c>
      <c r="L14" s="135">
        <f t="shared" si="22"/>
        <v>1</v>
      </c>
      <c r="N14" s="279">
        <f t="shared" si="16"/>
        <v>-1999</v>
      </c>
      <c r="O14" s="238">
        <f t="shared" si="17"/>
        <v>2023</v>
      </c>
      <c r="P14" s="280">
        <f t="shared" si="18"/>
        <v>24</v>
      </c>
      <c r="R14" s="176">
        <f t="shared" si="23"/>
        <v>1</v>
      </c>
      <c r="S14" s="177"/>
      <c r="T14" s="178">
        <f t="shared" si="19"/>
        <v>1</v>
      </c>
      <c r="U14" s="178"/>
      <c r="V14" s="179">
        <f t="shared" si="1"/>
        <v>0</v>
      </c>
      <c r="W14" s="138"/>
      <c r="X14" s="178">
        <f t="shared" si="20"/>
        <v>0</v>
      </c>
      <c r="Y14" s="178"/>
      <c r="Z14" s="178">
        <f t="shared" si="2"/>
        <v>0</v>
      </c>
      <c r="AA14" s="178"/>
      <c r="AB14" s="178">
        <f t="shared" si="3"/>
        <v>0</v>
      </c>
      <c r="AC14" s="178"/>
      <c r="AD14" s="178">
        <f t="shared" si="4"/>
        <v>0</v>
      </c>
      <c r="AE14" s="178"/>
      <c r="AF14" s="178">
        <f t="shared" si="5"/>
        <v>0</v>
      </c>
      <c r="AG14" s="178"/>
      <c r="AH14" s="178">
        <f t="shared" si="6"/>
        <v>0</v>
      </c>
      <c r="AI14" s="178"/>
      <c r="AJ14" s="178">
        <f t="shared" si="7"/>
        <v>0</v>
      </c>
      <c r="AK14" s="178"/>
      <c r="AL14" s="178">
        <f t="shared" si="8"/>
        <v>0</v>
      </c>
      <c r="AM14" s="178"/>
      <c r="AN14" s="178">
        <f t="shared" si="9"/>
        <v>0</v>
      </c>
      <c r="AO14" s="178"/>
      <c r="AP14" s="178">
        <f t="shared" si="10"/>
        <v>0</v>
      </c>
      <c r="AQ14" s="178"/>
      <c r="AR14" s="178">
        <f t="shared" si="11"/>
        <v>0</v>
      </c>
      <c r="AS14" s="178"/>
      <c r="AT14" s="178">
        <f t="shared" si="12"/>
        <v>0</v>
      </c>
      <c r="AU14" s="178"/>
      <c r="AV14" s="178">
        <f t="shared" si="13"/>
        <v>0</v>
      </c>
      <c r="AW14" s="178"/>
      <c r="AX14" s="178">
        <f t="shared" si="14"/>
        <v>0</v>
      </c>
      <c r="AY14" s="178"/>
      <c r="AZ14" s="178">
        <f t="shared" si="15"/>
        <v>0</v>
      </c>
    </row>
    <row r="15" spans="2:53" x14ac:dyDescent="0.35">
      <c r="B15" s="135">
        <f t="shared" ref="B15:B32" si="24">+B14+1</f>
        <v>5</v>
      </c>
      <c r="D15" s="137">
        <v>1</v>
      </c>
      <c r="F15" s="135" t="str">
        <f t="shared" si="21"/>
        <v>x</v>
      </c>
      <c r="H15" s="136" t="s">
        <v>45</v>
      </c>
      <c r="J15" s="135">
        <v>1</v>
      </c>
      <c r="K15" s="136">
        <v>23</v>
      </c>
      <c r="L15" s="135">
        <f t="shared" si="22"/>
        <v>1</v>
      </c>
      <c r="N15" s="279">
        <f t="shared" si="16"/>
        <v>-1999</v>
      </c>
      <c r="O15" s="238">
        <f t="shared" si="17"/>
        <v>2023</v>
      </c>
      <c r="P15" s="280">
        <f t="shared" si="18"/>
        <v>24</v>
      </c>
      <c r="R15" s="176">
        <f t="shared" si="23"/>
        <v>1</v>
      </c>
      <c r="S15" s="177"/>
      <c r="T15" s="178">
        <f t="shared" si="19"/>
        <v>1</v>
      </c>
      <c r="U15" s="178"/>
      <c r="V15" s="179">
        <f t="shared" si="1"/>
        <v>0</v>
      </c>
      <c r="W15" s="138"/>
      <c r="X15" s="178">
        <f t="shared" si="20"/>
        <v>0</v>
      </c>
      <c r="Y15" s="178"/>
      <c r="Z15" s="178">
        <f t="shared" si="2"/>
        <v>0</v>
      </c>
      <c r="AA15" s="178"/>
      <c r="AB15" s="178">
        <f t="shared" si="3"/>
        <v>0</v>
      </c>
      <c r="AC15" s="178"/>
      <c r="AD15" s="178">
        <f t="shared" si="4"/>
        <v>0</v>
      </c>
      <c r="AE15" s="178"/>
      <c r="AF15" s="178">
        <f t="shared" si="5"/>
        <v>0</v>
      </c>
      <c r="AG15" s="178"/>
      <c r="AH15" s="178">
        <f t="shared" si="6"/>
        <v>0</v>
      </c>
      <c r="AI15" s="178"/>
      <c r="AJ15" s="178">
        <f t="shared" si="7"/>
        <v>0</v>
      </c>
      <c r="AK15" s="178"/>
      <c r="AL15" s="178">
        <f t="shared" si="8"/>
        <v>0</v>
      </c>
      <c r="AM15" s="178"/>
      <c r="AN15" s="178">
        <f t="shared" si="9"/>
        <v>0</v>
      </c>
      <c r="AO15" s="178"/>
      <c r="AP15" s="178">
        <f t="shared" si="10"/>
        <v>0</v>
      </c>
      <c r="AQ15" s="178"/>
      <c r="AR15" s="178">
        <f t="shared" si="11"/>
        <v>0</v>
      </c>
      <c r="AS15" s="178"/>
      <c r="AT15" s="178">
        <f t="shared" si="12"/>
        <v>0</v>
      </c>
      <c r="AU15" s="178"/>
      <c r="AV15" s="178">
        <f t="shared" si="13"/>
        <v>0</v>
      </c>
      <c r="AW15" s="178"/>
      <c r="AX15" s="178">
        <f t="shared" si="14"/>
        <v>0</v>
      </c>
      <c r="AY15" s="178"/>
      <c r="AZ15" s="178">
        <f t="shared" si="15"/>
        <v>0</v>
      </c>
    </row>
    <row r="16" spans="2:53" x14ac:dyDescent="0.35">
      <c r="B16" s="135">
        <f t="shared" si="24"/>
        <v>6</v>
      </c>
      <c r="D16" s="137">
        <v>1</v>
      </c>
      <c r="F16" s="135" t="str">
        <f t="shared" si="21"/>
        <v>x</v>
      </c>
      <c r="H16" s="136" t="s">
        <v>45</v>
      </c>
      <c r="J16" s="135">
        <v>1</v>
      </c>
      <c r="K16" s="136">
        <v>23</v>
      </c>
      <c r="L16" s="135">
        <f t="shared" si="22"/>
        <v>1</v>
      </c>
      <c r="N16" s="279">
        <f t="shared" si="16"/>
        <v>-1999</v>
      </c>
      <c r="O16" s="238">
        <f t="shared" si="17"/>
        <v>2023</v>
      </c>
      <c r="P16" s="280">
        <f t="shared" si="18"/>
        <v>24</v>
      </c>
      <c r="R16" s="176">
        <f t="shared" si="23"/>
        <v>1</v>
      </c>
      <c r="S16" s="177"/>
      <c r="T16" s="178">
        <f t="shared" si="19"/>
        <v>1</v>
      </c>
      <c r="U16" s="178"/>
      <c r="V16" s="179">
        <f t="shared" si="1"/>
        <v>0</v>
      </c>
      <c r="W16" s="138"/>
      <c r="X16" s="178">
        <f t="shared" si="20"/>
        <v>0</v>
      </c>
      <c r="Y16" s="178"/>
      <c r="Z16" s="178">
        <f t="shared" si="2"/>
        <v>0</v>
      </c>
      <c r="AA16" s="178"/>
      <c r="AB16" s="178">
        <f t="shared" si="3"/>
        <v>0</v>
      </c>
      <c r="AC16" s="178"/>
      <c r="AD16" s="178">
        <f t="shared" si="4"/>
        <v>0</v>
      </c>
      <c r="AE16" s="178"/>
      <c r="AF16" s="178">
        <f t="shared" si="5"/>
        <v>0</v>
      </c>
      <c r="AG16" s="178"/>
      <c r="AH16" s="178">
        <f t="shared" si="6"/>
        <v>0</v>
      </c>
      <c r="AI16" s="178"/>
      <c r="AJ16" s="178">
        <f t="shared" si="7"/>
        <v>0</v>
      </c>
      <c r="AK16" s="178"/>
      <c r="AL16" s="178">
        <f t="shared" si="8"/>
        <v>0</v>
      </c>
      <c r="AM16" s="178"/>
      <c r="AN16" s="178">
        <f t="shared" si="9"/>
        <v>0</v>
      </c>
      <c r="AO16" s="178"/>
      <c r="AP16" s="178">
        <f t="shared" si="10"/>
        <v>0</v>
      </c>
      <c r="AQ16" s="178"/>
      <c r="AR16" s="178">
        <f t="shared" si="11"/>
        <v>0</v>
      </c>
      <c r="AS16" s="178"/>
      <c r="AT16" s="178">
        <f t="shared" si="12"/>
        <v>0</v>
      </c>
      <c r="AU16" s="178"/>
      <c r="AV16" s="178">
        <f t="shared" si="13"/>
        <v>0</v>
      </c>
      <c r="AW16" s="178"/>
      <c r="AX16" s="178">
        <f t="shared" si="14"/>
        <v>0</v>
      </c>
      <c r="AY16" s="178"/>
      <c r="AZ16" s="178">
        <f t="shared" si="15"/>
        <v>0</v>
      </c>
    </row>
    <row r="17" spans="2:53" x14ac:dyDescent="0.35">
      <c r="B17" s="168">
        <f t="shared" si="24"/>
        <v>7</v>
      </c>
      <c r="C17" s="169"/>
      <c r="D17" s="170">
        <v>1</v>
      </c>
      <c r="E17" s="171"/>
      <c r="F17" s="168" t="str">
        <f t="shared" si="21"/>
        <v>x</v>
      </c>
      <c r="G17" s="170"/>
      <c r="H17" s="169" t="s">
        <v>45</v>
      </c>
      <c r="I17" s="169"/>
      <c r="J17" s="168">
        <v>1</v>
      </c>
      <c r="K17" s="169">
        <v>23</v>
      </c>
      <c r="L17" s="168">
        <f t="shared" si="22"/>
        <v>1</v>
      </c>
      <c r="M17" s="169"/>
      <c r="N17" s="241">
        <f t="shared" si="16"/>
        <v>-1999</v>
      </c>
      <c r="O17" s="237">
        <f t="shared" si="17"/>
        <v>2023</v>
      </c>
      <c r="P17" s="234">
        <f t="shared" si="18"/>
        <v>24</v>
      </c>
      <c r="Q17" s="169"/>
      <c r="R17" s="172">
        <f t="shared" si="23"/>
        <v>1</v>
      </c>
      <c r="S17" s="173"/>
      <c r="T17" s="174">
        <f t="shared" si="19"/>
        <v>1</v>
      </c>
      <c r="U17" s="174"/>
      <c r="V17" s="175">
        <f t="shared" si="1"/>
        <v>0</v>
      </c>
      <c r="W17" s="171"/>
      <c r="X17" s="174">
        <f t="shared" si="20"/>
        <v>0</v>
      </c>
      <c r="Y17" s="174"/>
      <c r="Z17" s="174">
        <f t="shared" si="2"/>
        <v>0</v>
      </c>
      <c r="AA17" s="174"/>
      <c r="AB17" s="174">
        <f t="shared" si="3"/>
        <v>0</v>
      </c>
      <c r="AC17" s="174"/>
      <c r="AD17" s="174">
        <f t="shared" si="4"/>
        <v>0</v>
      </c>
      <c r="AE17" s="174"/>
      <c r="AF17" s="174">
        <f t="shared" si="5"/>
        <v>0</v>
      </c>
      <c r="AG17" s="174"/>
      <c r="AH17" s="174">
        <f t="shared" si="6"/>
        <v>0</v>
      </c>
      <c r="AI17" s="174"/>
      <c r="AJ17" s="174">
        <f t="shared" si="7"/>
        <v>0</v>
      </c>
      <c r="AK17" s="174"/>
      <c r="AL17" s="174">
        <f t="shared" si="8"/>
        <v>0</v>
      </c>
      <c r="AM17" s="174"/>
      <c r="AN17" s="174">
        <f t="shared" si="9"/>
        <v>0</v>
      </c>
      <c r="AO17" s="174"/>
      <c r="AP17" s="174">
        <f t="shared" si="10"/>
        <v>0</v>
      </c>
      <c r="AQ17" s="174"/>
      <c r="AR17" s="174">
        <f t="shared" si="11"/>
        <v>0</v>
      </c>
      <c r="AS17" s="174"/>
      <c r="AT17" s="174">
        <f t="shared" si="12"/>
        <v>0</v>
      </c>
      <c r="AU17" s="174"/>
      <c r="AV17" s="174">
        <f t="shared" si="13"/>
        <v>0</v>
      </c>
      <c r="AW17" s="174"/>
      <c r="AX17" s="174">
        <f t="shared" si="14"/>
        <v>0</v>
      </c>
      <c r="AY17" s="174"/>
      <c r="AZ17" s="174">
        <f t="shared" si="15"/>
        <v>0</v>
      </c>
    </row>
    <row r="18" spans="2:53" x14ac:dyDescent="0.35">
      <c r="B18" s="168">
        <f t="shared" si="24"/>
        <v>8</v>
      </c>
      <c r="C18" s="169"/>
      <c r="D18" s="170">
        <v>1</v>
      </c>
      <c r="E18" s="171"/>
      <c r="F18" s="168" t="str">
        <f t="shared" si="21"/>
        <v>x</v>
      </c>
      <c r="G18" s="169"/>
      <c r="H18" s="169" t="s">
        <v>45</v>
      </c>
      <c r="I18" s="169"/>
      <c r="J18" s="168">
        <v>1</v>
      </c>
      <c r="K18" s="169">
        <v>23</v>
      </c>
      <c r="L18" s="168">
        <f t="shared" si="22"/>
        <v>1</v>
      </c>
      <c r="M18" s="169"/>
      <c r="N18" s="241">
        <f t="shared" si="16"/>
        <v>-1999</v>
      </c>
      <c r="O18" s="237">
        <f t="shared" si="17"/>
        <v>2023</v>
      </c>
      <c r="P18" s="234">
        <f t="shared" si="18"/>
        <v>24</v>
      </c>
      <c r="Q18" s="169"/>
      <c r="R18" s="172">
        <f t="shared" si="23"/>
        <v>1</v>
      </c>
      <c r="S18" s="173"/>
      <c r="T18" s="174">
        <f t="shared" si="19"/>
        <v>1</v>
      </c>
      <c r="U18" s="174"/>
      <c r="V18" s="175">
        <f t="shared" si="1"/>
        <v>0</v>
      </c>
      <c r="W18" s="171"/>
      <c r="X18" s="174">
        <f t="shared" si="20"/>
        <v>0</v>
      </c>
      <c r="Y18" s="174"/>
      <c r="Z18" s="174">
        <f t="shared" si="2"/>
        <v>0</v>
      </c>
      <c r="AA18" s="174"/>
      <c r="AB18" s="174">
        <f t="shared" si="3"/>
        <v>0</v>
      </c>
      <c r="AC18" s="174"/>
      <c r="AD18" s="174">
        <f t="shared" si="4"/>
        <v>0</v>
      </c>
      <c r="AE18" s="174"/>
      <c r="AF18" s="174">
        <f t="shared" si="5"/>
        <v>0</v>
      </c>
      <c r="AG18" s="174"/>
      <c r="AH18" s="174">
        <f t="shared" si="6"/>
        <v>0</v>
      </c>
      <c r="AI18" s="174"/>
      <c r="AJ18" s="174">
        <f t="shared" si="7"/>
        <v>0</v>
      </c>
      <c r="AK18" s="174"/>
      <c r="AL18" s="174">
        <f t="shared" si="8"/>
        <v>0</v>
      </c>
      <c r="AM18" s="174"/>
      <c r="AN18" s="174">
        <f t="shared" si="9"/>
        <v>0</v>
      </c>
      <c r="AO18" s="174"/>
      <c r="AP18" s="174">
        <f t="shared" si="10"/>
        <v>0</v>
      </c>
      <c r="AQ18" s="174"/>
      <c r="AR18" s="174">
        <f t="shared" si="11"/>
        <v>0</v>
      </c>
      <c r="AS18" s="174"/>
      <c r="AT18" s="174">
        <f t="shared" si="12"/>
        <v>0</v>
      </c>
      <c r="AU18" s="174"/>
      <c r="AV18" s="174">
        <f t="shared" si="13"/>
        <v>0</v>
      </c>
      <c r="AW18" s="174"/>
      <c r="AX18" s="174">
        <f t="shared" si="14"/>
        <v>0</v>
      </c>
      <c r="AY18" s="174"/>
      <c r="AZ18" s="174">
        <f t="shared" si="15"/>
        <v>0</v>
      </c>
    </row>
    <row r="19" spans="2:53" x14ac:dyDescent="0.35">
      <c r="B19" s="168">
        <f t="shared" si="24"/>
        <v>9</v>
      </c>
      <c r="C19" s="169"/>
      <c r="D19" s="170">
        <v>1</v>
      </c>
      <c r="E19" s="171"/>
      <c r="F19" s="168" t="str">
        <f t="shared" si="21"/>
        <v>x</v>
      </c>
      <c r="G19" s="169"/>
      <c r="H19" s="169" t="s">
        <v>45</v>
      </c>
      <c r="I19" s="169"/>
      <c r="J19" s="168">
        <v>1</v>
      </c>
      <c r="K19" s="169">
        <v>23</v>
      </c>
      <c r="L19" s="168">
        <f t="shared" si="22"/>
        <v>1</v>
      </c>
      <c r="M19" s="169"/>
      <c r="N19" s="241">
        <f t="shared" si="16"/>
        <v>-1999</v>
      </c>
      <c r="O19" s="237">
        <f t="shared" si="17"/>
        <v>2023</v>
      </c>
      <c r="P19" s="234">
        <f t="shared" si="18"/>
        <v>24</v>
      </c>
      <c r="Q19" s="169"/>
      <c r="R19" s="172">
        <f t="shared" si="23"/>
        <v>1</v>
      </c>
      <c r="S19" s="173"/>
      <c r="T19" s="174">
        <f t="shared" si="19"/>
        <v>1</v>
      </c>
      <c r="U19" s="174"/>
      <c r="V19" s="175">
        <f t="shared" si="1"/>
        <v>0</v>
      </c>
      <c r="W19" s="171"/>
      <c r="X19" s="174">
        <f t="shared" si="20"/>
        <v>0</v>
      </c>
      <c r="Y19" s="174"/>
      <c r="Z19" s="174">
        <f t="shared" si="2"/>
        <v>0</v>
      </c>
      <c r="AA19" s="174"/>
      <c r="AB19" s="174">
        <f t="shared" si="3"/>
        <v>0</v>
      </c>
      <c r="AC19" s="174"/>
      <c r="AD19" s="174">
        <f t="shared" si="4"/>
        <v>0</v>
      </c>
      <c r="AE19" s="174"/>
      <c r="AF19" s="174">
        <f t="shared" si="5"/>
        <v>0</v>
      </c>
      <c r="AG19" s="174"/>
      <c r="AH19" s="174">
        <f t="shared" si="6"/>
        <v>0</v>
      </c>
      <c r="AI19" s="174"/>
      <c r="AJ19" s="174">
        <f t="shared" si="7"/>
        <v>0</v>
      </c>
      <c r="AK19" s="174"/>
      <c r="AL19" s="174">
        <f t="shared" si="8"/>
        <v>0</v>
      </c>
      <c r="AM19" s="174"/>
      <c r="AN19" s="174">
        <f t="shared" si="9"/>
        <v>0</v>
      </c>
      <c r="AO19" s="174"/>
      <c r="AP19" s="174">
        <f t="shared" si="10"/>
        <v>0</v>
      </c>
      <c r="AQ19" s="174"/>
      <c r="AR19" s="174">
        <f t="shared" si="11"/>
        <v>0</v>
      </c>
      <c r="AS19" s="174"/>
      <c r="AT19" s="174">
        <f t="shared" si="12"/>
        <v>0</v>
      </c>
      <c r="AU19" s="174"/>
      <c r="AV19" s="174">
        <f t="shared" si="13"/>
        <v>0</v>
      </c>
      <c r="AW19" s="174"/>
      <c r="AX19" s="174">
        <f t="shared" si="14"/>
        <v>0</v>
      </c>
      <c r="AY19" s="174"/>
      <c r="AZ19" s="174">
        <f t="shared" si="15"/>
        <v>0</v>
      </c>
    </row>
    <row r="20" spans="2:53" s="181" customFormat="1" x14ac:dyDescent="0.35">
      <c r="B20" s="180">
        <f t="shared" si="24"/>
        <v>10</v>
      </c>
      <c r="D20" s="182">
        <v>1</v>
      </c>
      <c r="E20" s="183"/>
      <c r="F20" s="135" t="str">
        <f t="shared" si="21"/>
        <v>x</v>
      </c>
      <c r="H20" s="181" t="s">
        <v>45</v>
      </c>
      <c r="J20" s="180">
        <v>1</v>
      </c>
      <c r="K20" s="136">
        <v>23</v>
      </c>
      <c r="L20" s="135">
        <f t="shared" si="22"/>
        <v>1</v>
      </c>
      <c r="M20" s="136"/>
      <c r="N20" s="279">
        <f t="shared" si="16"/>
        <v>-1999</v>
      </c>
      <c r="O20" s="238">
        <f t="shared" si="17"/>
        <v>2023</v>
      </c>
      <c r="P20" s="280">
        <f t="shared" si="18"/>
        <v>24</v>
      </c>
      <c r="Q20" s="136"/>
      <c r="R20" s="176">
        <f t="shared" si="23"/>
        <v>1</v>
      </c>
      <c r="S20" s="184"/>
      <c r="T20" s="185">
        <f t="shared" si="19"/>
        <v>1</v>
      </c>
      <c r="U20" s="185"/>
      <c r="V20" s="186">
        <f t="shared" si="1"/>
        <v>0</v>
      </c>
      <c r="W20" s="183"/>
      <c r="X20" s="185">
        <f t="shared" si="20"/>
        <v>0</v>
      </c>
      <c r="Y20" s="185"/>
      <c r="Z20" s="185">
        <f t="shared" si="2"/>
        <v>0</v>
      </c>
      <c r="AA20" s="185"/>
      <c r="AB20" s="185">
        <f t="shared" si="3"/>
        <v>0</v>
      </c>
      <c r="AC20" s="185"/>
      <c r="AD20" s="185">
        <f t="shared" si="4"/>
        <v>0</v>
      </c>
      <c r="AE20" s="185"/>
      <c r="AF20" s="185">
        <f t="shared" si="5"/>
        <v>0</v>
      </c>
      <c r="AG20" s="185"/>
      <c r="AH20" s="185">
        <f t="shared" si="6"/>
        <v>0</v>
      </c>
      <c r="AI20" s="185"/>
      <c r="AJ20" s="185">
        <f t="shared" si="7"/>
        <v>0</v>
      </c>
      <c r="AK20" s="185"/>
      <c r="AL20" s="185">
        <f t="shared" si="8"/>
        <v>0</v>
      </c>
      <c r="AM20" s="185"/>
      <c r="AN20" s="185">
        <f t="shared" si="9"/>
        <v>0</v>
      </c>
      <c r="AO20" s="185"/>
      <c r="AP20" s="185">
        <f t="shared" si="10"/>
        <v>0</v>
      </c>
      <c r="AQ20" s="185"/>
      <c r="AR20" s="185">
        <f t="shared" si="11"/>
        <v>0</v>
      </c>
      <c r="AS20" s="185"/>
      <c r="AT20" s="185">
        <f t="shared" si="12"/>
        <v>0</v>
      </c>
      <c r="AU20" s="185"/>
      <c r="AV20" s="185">
        <f t="shared" si="13"/>
        <v>0</v>
      </c>
      <c r="AW20" s="185"/>
      <c r="AX20" s="185">
        <f t="shared" si="14"/>
        <v>0</v>
      </c>
      <c r="AY20" s="185"/>
      <c r="AZ20" s="185">
        <f t="shared" si="15"/>
        <v>0</v>
      </c>
    </row>
    <row r="21" spans="2:53" s="181" customFormat="1" x14ac:dyDescent="0.35">
      <c r="B21" s="180">
        <f t="shared" si="24"/>
        <v>11</v>
      </c>
      <c r="D21" s="182">
        <v>1</v>
      </c>
      <c r="E21" s="183"/>
      <c r="F21" s="135" t="str">
        <f t="shared" si="21"/>
        <v>x</v>
      </c>
      <c r="H21" s="181" t="s">
        <v>45</v>
      </c>
      <c r="J21" s="180">
        <v>1</v>
      </c>
      <c r="K21" s="136">
        <v>23</v>
      </c>
      <c r="L21" s="135">
        <f t="shared" si="22"/>
        <v>1</v>
      </c>
      <c r="M21" s="136"/>
      <c r="N21" s="279">
        <f t="shared" si="16"/>
        <v>-1999</v>
      </c>
      <c r="O21" s="238">
        <f t="shared" si="17"/>
        <v>2023</v>
      </c>
      <c r="P21" s="280">
        <f t="shared" si="18"/>
        <v>24</v>
      </c>
      <c r="Q21" s="136"/>
      <c r="R21" s="176">
        <f t="shared" si="23"/>
        <v>1</v>
      </c>
      <c r="S21" s="184"/>
      <c r="T21" s="185">
        <f t="shared" si="19"/>
        <v>1</v>
      </c>
      <c r="U21" s="185"/>
      <c r="V21" s="186">
        <f t="shared" si="1"/>
        <v>0</v>
      </c>
      <c r="W21" s="183"/>
      <c r="X21" s="185">
        <f t="shared" si="20"/>
        <v>0</v>
      </c>
      <c r="Y21" s="185"/>
      <c r="Z21" s="185">
        <f t="shared" si="2"/>
        <v>0</v>
      </c>
      <c r="AA21" s="185"/>
      <c r="AB21" s="185">
        <f t="shared" si="3"/>
        <v>0</v>
      </c>
      <c r="AC21" s="185"/>
      <c r="AD21" s="185">
        <f t="shared" si="4"/>
        <v>0</v>
      </c>
      <c r="AE21" s="185"/>
      <c r="AF21" s="185">
        <f t="shared" si="5"/>
        <v>0</v>
      </c>
      <c r="AG21" s="185"/>
      <c r="AH21" s="185">
        <f t="shared" si="6"/>
        <v>0</v>
      </c>
      <c r="AI21" s="185"/>
      <c r="AJ21" s="185">
        <f t="shared" si="7"/>
        <v>0</v>
      </c>
      <c r="AK21" s="185"/>
      <c r="AL21" s="185">
        <f t="shared" si="8"/>
        <v>0</v>
      </c>
      <c r="AM21" s="185"/>
      <c r="AN21" s="185">
        <f t="shared" si="9"/>
        <v>0</v>
      </c>
      <c r="AO21" s="185"/>
      <c r="AP21" s="185">
        <f t="shared" si="10"/>
        <v>0</v>
      </c>
      <c r="AQ21" s="185"/>
      <c r="AR21" s="185">
        <f t="shared" si="11"/>
        <v>0</v>
      </c>
      <c r="AS21" s="185"/>
      <c r="AT21" s="185">
        <f t="shared" si="12"/>
        <v>0</v>
      </c>
      <c r="AU21" s="185"/>
      <c r="AV21" s="185">
        <f t="shared" si="13"/>
        <v>0</v>
      </c>
      <c r="AW21" s="185"/>
      <c r="AX21" s="185">
        <f t="shared" si="14"/>
        <v>0</v>
      </c>
      <c r="AY21" s="185"/>
      <c r="AZ21" s="185">
        <f t="shared" si="15"/>
        <v>0</v>
      </c>
    </row>
    <row r="22" spans="2:53" s="181" customFormat="1" x14ac:dyDescent="0.35">
      <c r="B22" s="180">
        <f t="shared" si="24"/>
        <v>12</v>
      </c>
      <c r="D22" s="182">
        <v>1</v>
      </c>
      <c r="E22" s="183"/>
      <c r="F22" s="135" t="str">
        <f t="shared" si="21"/>
        <v>x</v>
      </c>
      <c r="H22" s="181" t="s">
        <v>45</v>
      </c>
      <c r="J22" s="180">
        <v>1</v>
      </c>
      <c r="K22" s="136">
        <v>23</v>
      </c>
      <c r="L22" s="135">
        <f t="shared" si="22"/>
        <v>1</v>
      </c>
      <c r="M22" s="136"/>
      <c r="N22" s="279">
        <f t="shared" si="16"/>
        <v>-1999</v>
      </c>
      <c r="O22" s="238">
        <f t="shared" si="17"/>
        <v>2023</v>
      </c>
      <c r="P22" s="280">
        <f t="shared" si="18"/>
        <v>24</v>
      </c>
      <c r="Q22" s="136"/>
      <c r="R22" s="176">
        <f t="shared" si="23"/>
        <v>1</v>
      </c>
      <c r="S22" s="184"/>
      <c r="T22" s="185">
        <f t="shared" si="19"/>
        <v>1</v>
      </c>
      <c r="U22" s="185"/>
      <c r="V22" s="186">
        <f t="shared" si="1"/>
        <v>0</v>
      </c>
      <c r="W22" s="183"/>
      <c r="X22" s="185">
        <f t="shared" si="20"/>
        <v>0</v>
      </c>
      <c r="Y22" s="185"/>
      <c r="Z22" s="185">
        <f t="shared" si="2"/>
        <v>0</v>
      </c>
      <c r="AA22" s="185"/>
      <c r="AB22" s="185">
        <f t="shared" si="3"/>
        <v>0</v>
      </c>
      <c r="AC22" s="185"/>
      <c r="AD22" s="185">
        <f t="shared" si="4"/>
        <v>0</v>
      </c>
      <c r="AE22" s="185"/>
      <c r="AF22" s="185">
        <f t="shared" si="5"/>
        <v>0</v>
      </c>
      <c r="AG22" s="185"/>
      <c r="AH22" s="185">
        <f t="shared" si="6"/>
        <v>0</v>
      </c>
      <c r="AI22" s="185"/>
      <c r="AJ22" s="185">
        <f t="shared" si="7"/>
        <v>0</v>
      </c>
      <c r="AK22" s="185"/>
      <c r="AL22" s="185">
        <f t="shared" si="8"/>
        <v>0</v>
      </c>
      <c r="AM22" s="185"/>
      <c r="AN22" s="185">
        <f t="shared" si="9"/>
        <v>0</v>
      </c>
      <c r="AO22" s="185"/>
      <c r="AP22" s="185">
        <f t="shared" si="10"/>
        <v>0</v>
      </c>
      <c r="AQ22" s="185"/>
      <c r="AR22" s="185">
        <f t="shared" si="11"/>
        <v>0</v>
      </c>
      <c r="AS22" s="185"/>
      <c r="AT22" s="185">
        <f t="shared" si="12"/>
        <v>0</v>
      </c>
      <c r="AU22" s="185"/>
      <c r="AV22" s="185">
        <f t="shared" si="13"/>
        <v>0</v>
      </c>
      <c r="AW22" s="185"/>
      <c r="AX22" s="185">
        <f t="shared" si="14"/>
        <v>0</v>
      </c>
      <c r="AY22" s="185"/>
      <c r="AZ22" s="185">
        <f t="shared" si="15"/>
        <v>0</v>
      </c>
    </row>
    <row r="23" spans="2:53" s="181" customFormat="1" x14ac:dyDescent="0.35">
      <c r="B23" s="168">
        <f t="shared" si="24"/>
        <v>13</v>
      </c>
      <c r="C23" s="169"/>
      <c r="D23" s="170">
        <v>1</v>
      </c>
      <c r="E23" s="171"/>
      <c r="F23" s="168" t="str">
        <f t="shared" si="21"/>
        <v>x</v>
      </c>
      <c r="G23" s="169"/>
      <c r="H23" s="169" t="s">
        <v>45</v>
      </c>
      <c r="I23" s="169"/>
      <c r="J23" s="168">
        <v>1</v>
      </c>
      <c r="K23" s="169">
        <v>23</v>
      </c>
      <c r="L23" s="168">
        <f t="shared" si="22"/>
        <v>1</v>
      </c>
      <c r="M23" s="169"/>
      <c r="N23" s="241">
        <f t="shared" si="16"/>
        <v>-1999</v>
      </c>
      <c r="O23" s="237">
        <f t="shared" si="17"/>
        <v>2023</v>
      </c>
      <c r="P23" s="234">
        <f t="shared" si="18"/>
        <v>24</v>
      </c>
      <c r="Q23" s="169"/>
      <c r="R23" s="172">
        <f t="shared" si="23"/>
        <v>1</v>
      </c>
      <c r="S23" s="173"/>
      <c r="T23" s="174">
        <f t="shared" si="19"/>
        <v>1</v>
      </c>
      <c r="U23" s="174"/>
      <c r="V23" s="175">
        <f t="shared" si="1"/>
        <v>0</v>
      </c>
      <c r="W23" s="171"/>
      <c r="X23" s="174">
        <f t="shared" si="20"/>
        <v>0</v>
      </c>
      <c r="Y23" s="174"/>
      <c r="Z23" s="174">
        <f t="shared" si="2"/>
        <v>0</v>
      </c>
      <c r="AA23" s="174"/>
      <c r="AB23" s="174">
        <f t="shared" si="3"/>
        <v>0</v>
      </c>
      <c r="AC23" s="174"/>
      <c r="AD23" s="174">
        <f t="shared" si="4"/>
        <v>0</v>
      </c>
      <c r="AE23" s="174"/>
      <c r="AF23" s="174">
        <f t="shared" si="5"/>
        <v>0</v>
      </c>
      <c r="AG23" s="174"/>
      <c r="AH23" s="174">
        <f t="shared" si="6"/>
        <v>0</v>
      </c>
      <c r="AI23" s="174"/>
      <c r="AJ23" s="174">
        <f t="shared" si="7"/>
        <v>0</v>
      </c>
      <c r="AK23" s="174"/>
      <c r="AL23" s="174">
        <f t="shared" si="8"/>
        <v>0</v>
      </c>
      <c r="AM23" s="174"/>
      <c r="AN23" s="174">
        <f t="shared" si="9"/>
        <v>0</v>
      </c>
      <c r="AO23" s="174"/>
      <c r="AP23" s="174">
        <f t="shared" si="10"/>
        <v>0</v>
      </c>
      <c r="AQ23" s="174"/>
      <c r="AR23" s="174">
        <f t="shared" si="11"/>
        <v>0</v>
      </c>
      <c r="AS23" s="174"/>
      <c r="AT23" s="174">
        <f t="shared" si="12"/>
        <v>0</v>
      </c>
      <c r="AU23" s="174"/>
      <c r="AV23" s="174">
        <f t="shared" si="13"/>
        <v>0</v>
      </c>
      <c r="AW23" s="174"/>
      <c r="AX23" s="174">
        <f t="shared" si="14"/>
        <v>0</v>
      </c>
      <c r="AY23" s="174"/>
      <c r="AZ23" s="174">
        <f t="shared" si="15"/>
        <v>0</v>
      </c>
    </row>
    <row r="24" spans="2:53" s="181" customFormat="1" x14ac:dyDescent="0.35">
      <c r="B24" s="168">
        <f t="shared" si="24"/>
        <v>14</v>
      </c>
      <c r="C24" s="169"/>
      <c r="D24" s="170">
        <v>1</v>
      </c>
      <c r="E24" s="171"/>
      <c r="F24" s="168" t="str">
        <f t="shared" si="21"/>
        <v>x</v>
      </c>
      <c r="G24" s="169"/>
      <c r="H24" s="169" t="s">
        <v>45</v>
      </c>
      <c r="I24" s="169"/>
      <c r="J24" s="168">
        <v>1</v>
      </c>
      <c r="K24" s="169">
        <v>23</v>
      </c>
      <c r="L24" s="168">
        <f t="shared" si="22"/>
        <v>1</v>
      </c>
      <c r="M24" s="169"/>
      <c r="N24" s="241">
        <f t="shared" si="16"/>
        <v>-1999</v>
      </c>
      <c r="O24" s="237">
        <f t="shared" si="17"/>
        <v>2023</v>
      </c>
      <c r="P24" s="234">
        <f t="shared" si="18"/>
        <v>24</v>
      </c>
      <c r="Q24" s="169"/>
      <c r="R24" s="172">
        <f t="shared" si="23"/>
        <v>1</v>
      </c>
      <c r="S24" s="173"/>
      <c r="T24" s="174">
        <f t="shared" si="19"/>
        <v>1</v>
      </c>
      <c r="U24" s="174"/>
      <c r="V24" s="175">
        <f t="shared" si="1"/>
        <v>0</v>
      </c>
      <c r="W24" s="171"/>
      <c r="X24" s="174">
        <f t="shared" si="20"/>
        <v>0</v>
      </c>
      <c r="Y24" s="174"/>
      <c r="Z24" s="174">
        <f t="shared" si="2"/>
        <v>0</v>
      </c>
      <c r="AA24" s="174"/>
      <c r="AB24" s="174">
        <f t="shared" si="3"/>
        <v>0</v>
      </c>
      <c r="AC24" s="174"/>
      <c r="AD24" s="174">
        <f t="shared" si="4"/>
        <v>0</v>
      </c>
      <c r="AE24" s="174"/>
      <c r="AF24" s="174">
        <f t="shared" si="5"/>
        <v>0</v>
      </c>
      <c r="AG24" s="174"/>
      <c r="AH24" s="174">
        <f t="shared" si="6"/>
        <v>0</v>
      </c>
      <c r="AI24" s="174"/>
      <c r="AJ24" s="174">
        <f t="shared" si="7"/>
        <v>0</v>
      </c>
      <c r="AK24" s="174"/>
      <c r="AL24" s="174">
        <f t="shared" si="8"/>
        <v>0</v>
      </c>
      <c r="AM24" s="174"/>
      <c r="AN24" s="174">
        <f t="shared" si="9"/>
        <v>0</v>
      </c>
      <c r="AO24" s="174"/>
      <c r="AP24" s="174">
        <f t="shared" si="10"/>
        <v>0</v>
      </c>
      <c r="AQ24" s="174"/>
      <c r="AR24" s="174">
        <f t="shared" si="11"/>
        <v>0</v>
      </c>
      <c r="AS24" s="174"/>
      <c r="AT24" s="174">
        <f t="shared" si="12"/>
        <v>0</v>
      </c>
      <c r="AU24" s="174"/>
      <c r="AV24" s="174">
        <f t="shared" si="13"/>
        <v>0</v>
      </c>
      <c r="AW24" s="174"/>
      <c r="AX24" s="174">
        <f t="shared" si="14"/>
        <v>0</v>
      </c>
      <c r="AY24" s="174"/>
      <c r="AZ24" s="174">
        <f t="shared" si="15"/>
        <v>0</v>
      </c>
    </row>
    <row r="25" spans="2:53" s="181" customFormat="1" x14ac:dyDescent="0.35">
      <c r="B25" s="168">
        <f t="shared" si="24"/>
        <v>15</v>
      </c>
      <c r="C25" s="169"/>
      <c r="D25" s="170">
        <v>1</v>
      </c>
      <c r="E25" s="171"/>
      <c r="F25" s="168" t="str">
        <f t="shared" si="21"/>
        <v>x</v>
      </c>
      <c r="G25" s="169"/>
      <c r="H25" s="169" t="s">
        <v>45</v>
      </c>
      <c r="I25" s="169"/>
      <c r="J25" s="168">
        <v>1</v>
      </c>
      <c r="K25" s="169">
        <v>23</v>
      </c>
      <c r="L25" s="168">
        <f t="shared" si="22"/>
        <v>1</v>
      </c>
      <c r="M25" s="169"/>
      <c r="N25" s="241">
        <f t="shared" si="16"/>
        <v>-1999</v>
      </c>
      <c r="O25" s="237">
        <f t="shared" si="17"/>
        <v>2023</v>
      </c>
      <c r="P25" s="234">
        <f t="shared" si="18"/>
        <v>24</v>
      </c>
      <c r="Q25" s="169"/>
      <c r="R25" s="172">
        <f t="shared" si="23"/>
        <v>1</v>
      </c>
      <c r="S25" s="173"/>
      <c r="T25" s="174">
        <f t="shared" si="19"/>
        <v>1</v>
      </c>
      <c r="U25" s="174"/>
      <c r="V25" s="175">
        <f t="shared" si="1"/>
        <v>0</v>
      </c>
      <c r="W25" s="171"/>
      <c r="X25" s="174">
        <f t="shared" si="20"/>
        <v>0</v>
      </c>
      <c r="Y25" s="174"/>
      <c r="Z25" s="174">
        <f t="shared" si="2"/>
        <v>0</v>
      </c>
      <c r="AA25" s="174"/>
      <c r="AB25" s="174">
        <f t="shared" si="3"/>
        <v>0</v>
      </c>
      <c r="AC25" s="174"/>
      <c r="AD25" s="174">
        <f t="shared" si="4"/>
        <v>0</v>
      </c>
      <c r="AE25" s="174"/>
      <c r="AF25" s="174">
        <f t="shared" si="5"/>
        <v>0</v>
      </c>
      <c r="AG25" s="174"/>
      <c r="AH25" s="174">
        <f t="shared" si="6"/>
        <v>0</v>
      </c>
      <c r="AI25" s="174"/>
      <c r="AJ25" s="174">
        <f t="shared" si="7"/>
        <v>0</v>
      </c>
      <c r="AK25" s="174"/>
      <c r="AL25" s="174">
        <f t="shared" si="8"/>
        <v>0</v>
      </c>
      <c r="AM25" s="174"/>
      <c r="AN25" s="174">
        <f t="shared" si="9"/>
        <v>0</v>
      </c>
      <c r="AO25" s="174"/>
      <c r="AP25" s="174">
        <f t="shared" si="10"/>
        <v>0</v>
      </c>
      <c r="AQ25" s="174"/>
      <c r="AR25" s="174">
        <f t="shared" si="11"/>
        <v>0</v>
      </c>
      <c r="AS25" s="174"/>
      <c r="AT25" s="174">
        <f t="shared" si="12"/>
        <v>0</v>
      </c>
      <c r="AU25" s="174"/>
      <c r="AV25" s="174">
        <f t="shared" si="13"/>
        <v>0</v>
      </c>
      <c r="AW25" s="174"/>
      <c r="AX25" s="174">
        <f t="shared" si="14"/>
        <v>0</v>
      </c>
      <c r="AY25" s="174"/>
      <c r="AZ25" s="174">
        <f t="shared" si="15"/>
        <v>0</v>
      </c>
    </row>
    <row r="26" spans="2:53" x14ac:dyDescent="0.35">
      <c r="B26" s="135">
        <f t="shared" si="24"/>
        <v>16</v>
      </c>
      <c r="D26" s="137">
        <v>1</v>
      </c>
      <c r="F26" s="135" t="str">
        <f t="shared" si="21"/>
        <v>x</v>
      </c>
      <c r="H26" s="136" t="s">
        <v>45</v>
      </c>
      <c r="J26" s="180">
        <v>1</v>
      </c>
      <c r="K26" s="136">
        <v>23</v>
      </c>
      <c r="L26" s="135">
        <f t="shared" si="22"/>
        <v>1</v>
      </c>
      <c r="N26" s="279">
        <f t="shared" si="16"/>
        <v>-1999</v>
      </c>
      <c r="O26" s="238">
        <f t="shared" si="17"/>
        <v>2023</v>
      </c>
      <c r="P26" s="280">
        <f t="shared" si="18"/>
        <v>24</v>
      </c>
      <c r="R26" s="176">
        <f t="shared" si="23"/>
        <v>1</v>
      </c>
      <c r="S26" s="177"/>
      <c r="T26" s="178">
        <f t="shared" si="19"/>
        <v>1</v>
      </c>
      <c r="U26" s="178"/>
      <c r="V26" s="179">
        <f t="shared" si="1"/>
        <v>0</v>
      </c>
      <c r="W26" s="138"/>
      <c r="X26" s="178">
        <f t="shared" si="20"/>
        <v>0</v>
      </c>
      <c r="Y26" s="178"/>
      <c r="Z26" s="178">
        <f t="shared" si="2"/>
        <v>0</v>
      </c>
      <c r="AA26" s="178"/>
      <c r="AB26" s="178">
        <f t="shared" si="3"/>
        <v>0</v>
      </c>
      <c r="AC26" s="178"/>
      <c r="AD26" s="178">
        <f t="shared" si="4"/>
        <v>0</v>
      </c>
      <c r="AE26" s="178"/>
      <c r="AF26" s="178">
        <f t="shared" si="5"/>
        <v>0</v>
      </c>
      <c r="AG26" s="178"/>
      <c r="AH26" s="178">
        <f t="shared" si="6"/>
        <v>0</v>
      </c>
      <c r="AI26" s="178"/>
      <c r="AJ26" s="178">
        <f t="shared" si="7"/>
        <v>0</v>
      </c>
      <c r="AK26" s="178"/>
      <c r="AL26" s="178">
        <f t="shared" si="8"/>
        <v>0</v>
      </c>
      <c r="AM26" s="178"/>
      <c r="AN26" s="178">
        <f t="shared" si="9"/>
        <v>0</v>
      </c>
      <c r="AO26" s="178"/>
      <c r="AP26" s="178">
        <f t="shared" si="10"/>
        <v>0</v>
      </c>
      <c r="AQ26" s="178"/>
      <c r="AR26" s="178">
        <f t="shared" si="11"/>
        <v>0</v>
      </c>
      <c r="AS26" s="178"/>
      <c r="AT26" s="178">
        <f t="shared" si="12"/>
        <v>0</v>
      </c>
      <c r="AU26" s="178"/>
      <c r="AV26" s="178">
        <f t="shared" si="13"/>
        <v>0</v>
      </c>
      <c r="AW26" s="178"/>
      <c r="AX26" s="178">
        <f t="shared" si="14"/>
        <v>0</v>
      </c>
      <c r="AY26" s="178"/>
      <c r="AZ26" s="178">
        <f t="shared" si="15"/>
        <v>0</v>
      </c>
    </row>
    <row r="27" spans="2:53" x14ac:dyDescent="0.35">
      <c r="B27" s="135">
        <f t="shared" si="24"/>
        <v>17</v>
      </c>
      <c r="D27" s="137">
        <v>1</v>
      </c>
      <c r="F27" s="135" t="str">
        <f t="shared" si="21"/>
        <v>x</v>
      </c>
      <c r="H27" s="136" t="s">
        <v>45</v>
      </c>
      <c r="J27" s="180">
        <v>1</v>
      </c>
      <c r="K27" s="136">
        <v>23</v>
      </c>
      <c r="L27" s="135">
        <f t="shared" si="22"/>
        <v>1</v>
      </c>
      <c r="N27" s="279">
        <f t="shared" si="16"/>
        <v>-1999</v>
      </c>
      <c r="O27" s="238">
        <f t="shared" si="17"/>
        <v>2023</v>
      </c>
      <c r="P27" s="280">
        <f t="shared" si="18"/>
        <v>24</v>
      </c>
      <c r="R27" s="176">
        <f t="shared" si="23"/>
        <v>1</v>
      </c>
      <c r="S27" s="177"/>
      <c r="T27" s="178">
        <f t="shared" si="19"/>
        <v>1</v>
      </c>
      <c r="U27" s="178"/>
      <c r="V27" s="179">
        <f t="shared" si="1"/>
        <v>0</v>
      </c>
      <c r="W27" s="138"/>
      <c r="X27" s="178">
        <f t="shared" si="20"/>
        <v>0</v>
      </c>
      <c r="Y27" s="178"/>
      <c r="Z27" s="178">
        <f t="shared" si="2"/>
        <v>0</v>
      </c>
      <c r="AA27" s="178"/>
      <c r="AB27" s="178">
        <f t="shared" si="3"/>
        <v>0</v>
      </c>
      <c r="AC27" s="178"/>
      <c r="AD27" s="178">
        <f t="shared" si="4"/>
        <v>0</v>
      </c>
      <c r="AE27" s="178"/>
      <c r="AF27" s="178">
        <f t="shared" si="5"/>
        <v>0</v>
      </c>
      <c r="AG27" s="178"/>
      <c r="AH27" s="178">
        <f t="shared" si="6"/>
        <v>0</v>
      </c>
      <c r="AI27" s="178"/>
      <c r="AJ27" s="178">
        <f t="shared" si="7"/>
        <v>0</v>
      </c>
      <c r="AK27" s="178"/>
      <c r="AL27" s="178">
        <f t="shared" si="8"/>
        <v>0</v>
      </c>
      <c r="AM27" s="178"/>
      <c r="AN27" s="178">
        <f t="shared" si="9"/>
        <v>0</v>
      </c>
      <c r="AO27" s="178"/>
      <c r="AP27" s="178">
        <f t="shared" si="10"/>
        <v>0</v>
      </c>
      <c r="AQ27" s="178"/>
      <c r="AR27" s="178">
        <f t="shared" si="11"/>
        <v>0</v>
      </c>
      <c r="AS27" s="178"/>
      <c r="AT27" s="178">
        <f t="shared" si="12"/>
        <v>0</v>
      </c>
      <c r="AU27" s="178"/>
      <c r="AV27" s="178">
        <f t="shared" si="13"/>
        <v>0</v>
      </c>
      <c r="AW27" s="178"/>
      <c r="AX27" s="178">
        <f t="shared" si="14"/>
        <v>0</v>
      </c>
      <c r="AY27" s="178"/>
      <c r="AZ27" s="178">
        <f t="shared" si="15"/>
        <v>0</v>
      </c>
    </row>
    <row r="28" spans="2:53" x14ac:dyDescent="0.35">
      <c r="B28" s="135">
        <f t="shared" si="24"/>
        <v>18</v>
      </c>
      <c r="D28" s="137">
        <v>1</v>
      </c>
      <c r="F28" s="135" t="str">
        <f t="shared" si="21"/>
        <v>x</v>
      </c>
      <c r="H28" s="136" t="s">
        <v>45</v>
      </c>
      <c r="J28" s="180">
        <v>1</v>
      </c>
      <c r="K28" s="136">
        <v>23</v>
      </c>
      <c r="L28" s="135">
        <f t="shared" si="22"/>
        <v>1</v>
      </c>
      <c r="N28" s="279">
        <f t="shared" si="16"/>
        <v>-1999</v>
      </c>
      <c r="O28" s="238">
        <f t="shared" si="17"/>
        <v>2023</v>
      </c>
      <c r="P28" s="280">
        <f t="shared" si="18"/>
        <v>24</v>
      </c>
      <c r="R28" s="176">
        <f t="shared" si="23"/>
        <v>1</v>
      </c>
      <c r="S28" s="177"/>
      <c r="T28" s="178">
        <f t="shared" si="19"/>
        <v>1</v>
      </c>
      <c r="U28" s="178"/>
      <c r="V28" s="179">
        <f t="shared" si="1"/>
        <v>0</v>
      </c>
      <c r="W28" s="138"/>
      <c r="X28" s="178">
        <f t="shared" si="20"/>
        <v>0</v>
      </c>
      <c r="Y28" s="178"/>
      <c r="Z28" s="178">
        <f t="shared" si="2"/>
        <v>0</v>
      </c>
      <c r="AA28" s="178"/>
      <c r="AB28" s="178">
        <f t="shared" si="3"/>
        <v>0</v>
      </c>
      <c r="AC28" s="178"/>
      <c r="AD28" s="178">
        <f t="shared" si="4"/>
        <v>0</v>
      </c>
      <c r="AE28" s="178"/>
      <c r="AF28" s="178">
        <f t="shared" si="5"/>
        <v>0</v>
      </c>
      <c r="AG28" s="178"/>
      <c r="AH28" s="178">
        <f t="shared" si="6"/>
        <v>0</v>
      </c>
      <c r="AI28" s="178"/>
      <c r="AJ28" s="178">
        <f t="shared" si="7"/>
        <v>0</v>
      </c>
      <c r="AK28" s="178"/>
      <c r="AL28" s="178">
        <f t="shared" si="8"/>
        <v>0</v>
      </c>
      <c r="AM28" s="178"/>
      <c r="AN28" s="178">
        <f t="shared" si="9"/>
        <v>0</v>
      </c>
      <c r="AO28" s="178"/>
      <c r="AP28" s="178">
        <f t="shared" si="10"/>
        <v>0</v>
      </c>
      <c r="AQ28" s="178"/>
      <c r="AR28" s="178">
        <f t="shared" si="11"/>
        <v>0</v>
      </c>
      <c r="AS28" s="178"/>
      <c r="AT28" s="178">
        <f t="shared" si="12"/>
        <v>0</v>
      </c>
      <c r="AU28" s="178"/>
      <c r="AV28" s="178">
        <f t="shared" si="13"/>
        <v>0</v>
      </c>
      <c r="AW28" s="178"/>
      <c r="AX28" s="178">
        <f t="shared" si="14"/>
        <v>0</v>
      </c>
      <c r="AY28" s="178"/>
      <c r="AZ28" s="178">
        <f t="shared" si="15"/>
        <v>0</v>
      </c>
    </row>
    <row r="29" spans="2:53" s="181" customFormat="1" x14ac:dyDescent="0.35">
      <c r="B29" s="168">
        <f t="shared" si="24"/>
        <v>19</v>
      </c>
      <c r="C29" s="169"/>
      <c r="D29" s="170">
        <v>1</v>
      </c>
      <c r="E29" s="171"/>
      <c r="F29" s="168" t="str">
        <f t="shared" si="21"/>
        <v>x</v>
      </c>
      <c r="G29" s="169"/>
      <c r="H29" s="169" t="s">
        <v>45</v>
      </c>
      <c r="I29" s="169"/>
      <c r="J29" s="168">
        <v>1</v>
      </c>
      <c r="K29" s="169">
        <v>23</v>
      </c>
      <c r="L29" s="168">
        <f t="shared" si="22"/>
        <v>1</v>
      </c>
      <c r="M29" s="169"/>
      <c r="N29" s="241">
        <f t="shared" si="16"/>
        <v>-1999</v>
      </c>
      <c r="O29" s="237">
        <f t="shared" si="17"/>
        <v>2023</v>
      </c>
      <c r="P29" s="234">
        <f t="shared" si="18"/>
        <v>24</v>
      </c>
      <c r="Q29" s="169"/>
      <c r="R29" s="172">
        <f t="shared" si="23"/>
        <v>1</v>
      </c>
      <c r="S29" s="173"/>
      <c r="T29" s="174">
        <f t="shared" si="19"/>
        <v>1</v>
      </c>
      <c r="U29" s="174"/>
      <c r="V29" s="175">
        <f t="shared" si="1"/>
        <v>0</v>
      </c>
      <c r="W29" s="171"/>
      <c r="X29" s="174">
        <f t="shared" si="20"/>
        <v>0</v>
      </c>
      <c r="Y29" s="174"/>
      <c r="Z29" s="174">
        <f t="shared" si="2"/>
        <v>0</v>
      </c>
      <c r="AA29" s="174"/>
      <c r="AB29" s="174">
        <f t="shared" si="3"/>
        <v>0</v>
      </c>
      <c r="AC29" s="174"/>
      <c r="AD29" s="174">
        <f t="shared" si="4"/>
        <v>0</v>
      </c>
      <c r="AE29" s="174"/>
      <c r="AF29" s="174">
        <f t="shared" si="5"/>
        <v>0</v>
      </c>
      <c r="AG29" s="174"/>
      <c r="AH29" s="174">
        <f t="shared" si="6"/>
        <v>0</v>
      </c>
      <c r="AI29" s="174"/>
      <c r="AJ29" s="174">
        <f t="shared" si="7"/>
        <v>0</v>
      </c>
      <c r="AK29" s="174"/>
      <c r="AL29" s="174">
        <f t="shared" si="8"/>
        <v>0</v>
      </c>
      <c r="AM29" s="174"/>
      <c r="AN29" s="174">
        <f t="shared" si="9"/>
        <v>0</v>
      </c>
      <c r="AO29" s="174"/>
      <c r="AP29" s="174">
        <f t="shared" si="10"/>
        <v>0</v>
      </c>
      <c r="AQ29" s="174"/>
      <c r="AR29" s="174">
        <f t="shared" si="11"/>
        <v>0</v>
      </c>
      <c r="AS29" s="174"/>
      <c r="AT29" s="174">
        <f t="shared" si="12"/>
        <v>0</v>
      </c>
      <c r="AU29" s="174"/>
      <c r="AV29" s="174">
        <f t="shared" si="13"/>
        <v>0</v>
      </c>
      <c r="AW29" s="174"/>
      <c r="AX29" s="174">
        <f t="shared" si="14"/>
        <v>0</v>
      </c>
      <c r="AY29" s="174"/>
      <c r="AZ29" s="174">
        <f t="shared" si="15"/>
        <v>0</v>
      </c>
    </row>
    <row r="30" spans="2:53" s="181" customFormat="1" x14ac:dyDescent="0.35">
      <c r="B30" s="168">
        <f t="shared" si="24"/>
        <v>20</v>
      </c>
      <c r="C30" s="169"/>
      <c r="D30" s="170">
        <v>1</v>
      </c>
      <c r="E30" s="171"/>
      <c r="F30" s="168" t="str">
        <f t="shared" si="21"/>
        <v>x</v>
      </c>
      <c r="G30" s="169"/>
      <c r="H30" s="169" t="s">
        <v>45</v>
      </c>
      <c r="I30" s="169"/>
      <c r="J30" s="168">
        <v>1</v>
      </c>
      <c r="K30" s="169">
        <v>23</v>
      </c>
      <c r="L30" s="168">
        <f t="shared" si="22"/>
        <v>1</v>
      </c>
      <c r="M30" s="169"/>
      <c r="N30" s="241">
        <f t="shared" si="16"/>
        <v>-1999</v>
      </c>
      <c r="O30" s="237">
        <f t="shared" si="17"/>
        <v>2023</v>
      </c>
      <c r="P30" s="234">
        <f t="shared" si="18"/>
        <v>24</v>
      </c>
      <c r="Q30" s="169"/>
      <c r="R30" s="172">
        <f t="shared" si="23"/>
        <v>1</v>
      </c>
      <c r="S30" s="173"/>
      <c r="T30" s="174">
        <f t="shared" si="19"/>
        <v>1</v>
      </c>
      <c r="U30" s="174"/>
      <c r="V30" s="175">
        <f t="shared" si="1"/>
        <v>0</v>
      </c>
      <c r="W30" s="171"/>
      <c r="X30" s="174">
        <f t="shared" si="20"/>
        <v>0</v>
      </c>
      <c r="Y30" s="174"/>
      <c r="Z30" s="174">
        <f t="shared" si="2"/>
        <v>0</v>
      </c>
      <c r="AA30" s="174"/>
      <c r="AB30" s="174">
        <f t="shared" si="3"/>
        <v>0</v>
      </c>
      <c r="AC30" s="174"/>
      <c r="AD30" s="174">
        <f t="shared" si="4"/>
        <v>0</v>
      </c>
      <c r="AE30" s="174"/>
      <c r="AF30" s="174">
        <f t="shared" si="5"/>
        <v>0</v>
      </c>
      <c r="AG30" s="174"/>
      <c r="AH30" s="174">
        <f t="shared" si="6"/>
        <v>0</v>
      </c>
      <c r="AI30" s="174"/>
      <c r="AJ30" s="174">
        <f t="shared" si="7"/>
        <v>0</v>
      </c>
      <c r="AK30" s="174"/>
      <c r="AL30" s="174">
        <f t="shared" si="8"/>
        <v>0</v>
      </c>
      <c r="AM30" s="174"/>
      <c r="AN30" s="174">
        <f t="shared" si="9"/>
        <v>0</v>
      </c>
      <c r="AO30" s="174"/>
      <c r="AP30" s="174">
        <f t="shared" si="10"/>
        <v>0</v>
      </c>
      <c r="AQ30" s="174"/>
      <c r="AR30" s="174">
        <f t="shared" si="11"/>
        <v>0</v>
      </c>
      <c r="AS30" s="174"/>
      <c r="AT30" s="174">
        <f t="shared" si="12"/>
        <v>0</v>
      </c>
      <c r="AU30" s="174"/>
      <c r="AV30" s="174">
        <f t="shared" si="13"/>
        <v>0</v>
      </c>
      <c r="AW30" s="174"/>
      <c r="AX30" s="174">
        <f t="shared" si="14"/>
        <v>0</v>
      </c>
      <c r="AY30" s="174"/>
      <c r="AZ30" s="174">
        <f t="shared" si="15"/>
        <v>0</v>
      </c>
    </row>
    <row r="31" spans="2:53" s="181" customFormat="1" x14ac:dyDescent="0.35">
      <c r="B31" s="168">
        <f t="shared" si="24"/>
        <v>21</v>
      </c>
      <c r="C31" s="169"/>
      <c r="D31" s="170">
        <v>1</v>
      </c>
      <c r="E31" s="171"/>
      <c r="F31" s="168" t="str">
        <f t="shared" si="21"/>
        <v>x</v>
      </c>
      <c r="G31" s="169"/>
      <c r="H31" s="169" t="s">
        <v>45</v>
      </c>
      <c r="I31" s="169"/>
      <c r="J31" s="168">
        <v>1</v>
      </c>
      <c r="K31" s="169">
        <v>23</v>
      </c>
      <c r="L31" s="168">
        <f t="shared" si="22"/>
        <v>1</v>
      </c>
      <c r="M31" s="169"/>
      <c r="N31" s="241">
        <f t="shared" si="16"/>
        <v>-1999</v>
      </c>
      <c r="O31" s="237">
        <f t="shared" si="17"/>
        <v>2023</v>
      </c>
      <c r="P31" s="234">
        <f t="shared" si="18"/>
        <v>24</v>
      </c>
      <c r="Q31" s="169"/>
      <c r="R31" s="172">
        <f t="shared" si="23"/>
        <v>1</v>
      </c>
      <c r="S31" s="173"/>
      <c r="T31" s="174">
        <f t="shared" si="19"/>
        <v>1</v>
      </c>
      <c r="U31" s="174"/>
      <c r="V31" s="175">
        <f t="shared" si="1"/>
        <v>0</v>
      </c>
      <c r="W31" s="171"/>
      <c r="X31" s="174">
        <f t="shared" si="20"/>
        <v>0</v>
      </c>
      <c r="Y31" s="174"/>
      <c r="Z31" s="174">
        <f t="shared" si="2"/>
        <v>0</v>
      </c>
      <c r="AA31" s="174"/>
      <c r="AB31" s="174">
        <f t="shared" si="3"/>
        <v>0</v>
      </c>
      <c r="AC31" s="174"/>
      <c r="AD31" s="174">
        <f t="shared" si="4"/>
        <v>0</v>
      </c>
      <c r="AE31" s="174"/>
      <c r="AF31" s="174">
        <f t="shared" si="5"/>
        <v>0</v>
      </c>
      <c r="AG31" s="174"/>
      <c r="AH31" s="174">
        <f t="shared" si="6"/>
        <v>0</v>
      </c>
      <c r="AI31" s="174"/>
      <c r="AJ31" s="174">
        <f t="shared" si="7"/>
        <v>0</v>
      </c>
      <c r="AK31" s="174"/>
      <c r="AL31" s="174">
        <f t="shared" si="8"/>
        <v>0</v>
      </c>
      <c r="AM31" s="174"/>
      <c r="AN31" s="174">
        <f t="shared" si="9"/>
        <v>0</v>
      </c>
      <c r="AO31" s="174"/>
      <c r="AP31" s="174">
        <f t="shared" si="10"/>
        <v>0</v>
      </c>
      <c r="AQ31" s="174"/>
      <c r="AR31" s="174">
        <f t="shared" si="11"/>
        <v>0</v>
      </c>
      <c r="AS31" s="174"/>
      <c r="AT31" s="174">
        <f t="shared" si="12"/>
        <v>0</v>
      </c>
      <c r="AU31" s="174"/>
      <c r="AV31" s="174">
        <f t="shared" si="13"/>
        <v>0</v>
      </c>
      <c r="AW31" s="174"/>
      <c r="AX31" s="174">
        <f t="shared" si="14"/>
        <v>0</v>
      </c>
      <c r="AY31" s="174"/>
      <c r="AZ31" s="174">
        <f t="shared" si="15"/>
        <v>0</v>
      </c>
    </row>
    <row r="32" spans="2:53" s="151" customFormat="1" x14ac:dyDescent="0.35">
      <c r="B32" s="180">
        <f t="shared" si="24"/>
        <v>22</v>
      </c>
      <c r="C32" s="136"/>
      <c r="D32" s="137">
        <v>1</v>
      </c>
      <c r="E32" s="138"/>
      <c r="F32" s="135" t="str">
        <f t="shared" si="21"/>
        <v>x</v>
      </c>
      <c r="G32" s="136"/>
      <c r="H32" s="151" t="s">
        <v>45</v>
      </c>
      <c r="I32" s="136"/>
      <c r="J32" s="135">
        <v>1</v>
      </c>
      <c r="K32" s="136">
        <v>23</v>
      </c>
      <c r="L32" s="135">
        <f t="shared" si="22"/>
        <v>1</v>
      </c>
      <c r="M32" s="136"/>
      <c r="N32" s="279">
        <f t="shared" si="16"/>
        <v>-1999</v>
      </c>
      <c r="O32" s="238">
        <f t="shared" si="17"/>
        <v>2023</v>
      </c>
      <c r="P32" s="280">
        <f t="shared" si="18"/>
        <v>24</v>
      </c>
      <c r="Q32" s="136"/>
      <c r="R32" s="176">
        <f t="shared" si="23"/>
        <v>1</v>
      </c>
      <c r="S32" s="177"/>
      <c r="T32" s="178">
        <f t="shared" si="19"/>
        <v>1</v>
      </c>
      <c r="U32" s="178"/>
      <c r="V32" s="179">
        <f t="shared" si="1"/>
        <v>0</v>
      </c>
      <c r="W32" s="138"/>
      <c r="X32" s="178">
        <f t="shared" si="20"/>
        <v>0</v>
      </c>
      <c r="Y32" s="178"/>
      <c r="Z32" s="178">
        <f t="shared" si="2"/>
        <v>0</v>
      </c>
      <c r="AA32" s="178"/>
      <c r="AB32" s="178">
        <f t="shared" si="3"/>
        <v>0</v>
      </c>
      <c r="AC32" s="178"/>
      <c r="AD32" s="178">
        <f t="shared" si="4"/>
        <v>0</v>
      </c>
      <c r="AE32" s="178"/>
      <c r="AF32" s="178">
        <f t="shared" si="5"/>
        <v>0</v>
      </c>
      <c r="AG32" s="178"/>
      <c r="AH32" s="178">
        <f t="shared" si="6"/>
        <v>0</v>
      </c>
      <c r="AI32" s="178"/>
      <c r="AJ32" s="178">
        <f t="shared" si="7"/>
        <v>0</v>
      </c>
      <c r="AK32" s="178"/>
      <c r="AL32" s="178">
        <f t="shared" si="8"/>
        <v>0</v>
      </c>
      <c r="AM32" s="178"/>
      <c r="AN32" s="178">
        <f t="shared" si="9"/>
        <v>0</v>
      </c>
      <c r="AO32" s="178"/>
      <c r="AP32" s="178">
        <f t="shared" si="10"/>
        <v>0</v>
      </c>
      <c r="AQ32" s="178"/>
      <c r="AR32" s="178">
        <f t="shared" si="11"/>
        <v>0</v>
      </c>
      <c r="AS32" s="178"/>
      <c r="AT32" s="178">
        <f t="shared" si="12"/>
        <v>0</v>
      </c>
      <c r="AU32" s="178"/>
      <c r="AV32" s="178">
        <f t="shared" si="13"/>
        <v>0</v>
      </c>
      <c r="AW32" s="178"/>
      <c r="AX32" s="178">
        <f t="shared" si="14"/>
        <v>0</v>
      </c>
      <c r="AY32" s="178"/>
      <c r="AZ32" s="178">
        <f t="shared" si="15"/>
        <v>0</v>
      </c>
      <c r="BA32" s="136"/>
    </row>
    <row r="33" spans="2:53" s="151" customFormat="1" x14ac:dyDescent="0.35">
      <c r="B33" s="135">
        <f>+B32+1</f>
        <v>23</v>
      </c>
      <c r="C33" s="136"/>
      <c r="D33" s="137">
        <v>1</v>
      </c>
      <c r="E33" s="138"/>
      <c r="F33" s="135" t="str">
        <f t="shared" si="21"/>
        <v>x</v>
      </c>
      <c r="G33" s="137"/>
      <c r="H33" s="136" t="s">
        <v>45</v>
      </c>
      <c r="I33" s="136"/>
      <c r="J33" s="135">
        <v>1</v>
      </c>
      <c r="K33" s="136">
        <v>23</v>
      </c>
      <c r="L33" s="135">
        <f t="shared" si="22"/>
        <v>1</v>
      </c>
      <c r="M33" s="136"/>
      <c r="N33" s="279">
        <f t="shared" si="16"/>
        <v>-1999</v>
      </c>
      <c r="O33" s="238">
        <f t="shared" si="17"/>
        <v>2023</v>
      </c>
      <c r="P33" s="280">
        <f t="shared" si="18"/>
        <v>24</v>
      </c>
      <c r="Q33" s="136"/>
      <c r="R33" s="176">
        <f t="shared" si="23"/>
        <v>1</v>
      </c>
      <c r="S33" s="177"/>
      <c r="T33" s="178">
        <f t="shared" si="19"/>
        <v>1</v>
      </c>
      <c r="U33" s="178"/>
      <c r="V33" s="179">
        <f t="shared" si="1"/>
        <v>0</v>
      </c>
      <c r="W33" s="138"/>
      <c r="X33" s="178">
        <f t="shared" si="20"/>
        <v>0</v>
      </c>
      <c r="Y33" s="178"/>
      <c r="Z33" s="178">
        <f t="shared" si="2"/>
        <v>0</v>
      </c>
      <c r="AA33" s="178"/>
      <c r="AB33" s="178">
        <f t="shared" si="3"/>
        <v>0</v>
      </c>
      <c r="AC33" s="178"/>
      <c r="AD33" s="178">
        <f t="shared" si="4"/>
        <v>0</v>
      </c>
      <c r="AE33" s="178"/>
      <c r="AF33" s="178">
        <f t="shared" si="5"/>
        <v>0</v>
      </c>
      <c r="AG33" s="178"/>
      <c r="AH33" s="178">
        <f t="shared" si="6"/>
        <v>0</v>
      </c>
      <c r="AI33" s="178"/>
      <c r="AJ33" s="178">
        <f t="shared" si="7"/>
        <v>0</v>
      </c>
      <c r="AK33" s="178"/>
      <c r="AL33" s="178">
        <f t="shared" si="8"/>
        <v>0</v>
      </c>
      <c r="AM33" s="178"/>
      <c r="AN33" s="178">
        <f t="shared" si="9"/>
        <v>0</v>
      </c>
      <c r="AO33" s="178"/>
      <c r="AP33" s="178">
        <f t="shared" si="10"/>
        <v>0</v>
      </c>
      <c r="AQ33" s="178"/>
      <c r="AR33" s="178">
        <f t="shared" si="11"/>
        <v>0</v>
      </c>
      <c r="AS33" s="178"/>
      <c r="AT33" s="178">
        <f t="shared" si="12"/>
        <v>0</v>
      </c>
      <c r="AU33" s="178"/>
      <c r="AV33" s="178">
        <f t="shared" si="13"/>
        <v>0</v>
      </c>
      <c r="AW33" s="178"/>
      <c r="AX33" s="178">
        <f t="shared" si="14"/>
        <v>0</v>
      </c>
      <c r="AY33" s="178"/>
      <c r="AZ33" s="178">
        <f t="shared" si="15"/>
        <v>0</v>
      </c>
      <c r="BA33" s="136"/>
    </row>
    <row r="34" spans="2:53" s="151" customFormat="1" x14ac:dyDescent="0.35">
      <c r="B34" s="135">
        <f>+B33+1</f>
        <v>24</v>
      </c>
      <c r="C34" s="136"/>
      <c r="D34" s="137">
        <v>1</v>
      </c>
      <c r="E34" s="138"/>
      <c r="F34" s="135" t="str">
        <f t="shared" si="21"/>
        <v>x</v>
      </c>
      <c r="G34" s="136"/>
      <c r="H34" s="188" t="s">
        <v>45</v>
      </c>
      <c r="I34" s="136"/>
      <c r="J34" s="135">
        <v>1</v>
      </c>
      <c r="K34" s="136">
        <v>23</v>
      </c>
      <c r="L34" s="135">
        <f t="shared" si="22"/>
        <v>1</v>
      </c>
      <c r="M34" s="136"/>
      <c r="N34" s="279">
        <f t="shared" si="16"/>
        <v>-1999</v>
      </c>
      <c r="O34" s="238">
        <f t="shared" si="17"/>
        <v>2023</v>
      </c>
      <c r="P34" s="280">
        <f t="shared" si="18"/>
        <v>24</v>
      </c>
      <c r="Q34" s="136"/>
      <c r="R34" s="176">
        <f t="shared" si="23"/>
        <v>1</v>
      </c>
      <c r="S34" s="177"/>
      <c r="T34" s="178">
        <f t="shared" si="19"/>
        <v>1</v>
      </c>
      <c r="U34" s="178"/>
      <c r="V34" s="179">
        <f t="shared" si="1"/>
        <v>0</v>
      </c>
      <c r="W34" s="138"/>
      <c r="X34" s="178">
        <f t="shared" si="20"/>
        <v>0</v>
      </c>
      <c r="Y34" s="178"/>
      <c r="Z34" s="178">
        <f t="shared" si="2"/>
        <v>0</v>
      </c>
      <c r="AA34" s="178"/>
      <c r="AB34" s="178">
        <f t="shared" si="3"/>
        <v>0</v>
      </c>
      <c r="AC34" s="178"/>
      <c r="AD34" s="178">
        <f t="shared" si="4"/>
        <v>0</v>
      </c>
      <c r="AE34" s="178"/>
      <c r="AF34" s="178">
        <f t="shared" si="5"/>
        <v>0</v>
      </c>
      <c r="AG34" s="178"/>
      <c r="AH34" s="178">
        <f t="shared" si="6"/>
        <v>0</v>
      </c>
      <c r="AI34" s="178"/>
      <c r="AJ34" s="178">
        <f t="shared" si="7"/>
        <v>0</v>
      </c>
      <c r="AK34" s="178"/>
      <c r="AL34" s="178">
        <f t="shared" si="8"/>
        <v>0</v>
      </c>
      <c r="AM34" s="178"/>
      <c r="AN34" s="178">
        <f t="shared" si="9"/>
        <v>0</v>
      </c>
      <c r="AO34" s="178"/>
      <c r="AP34" s="178">
        <f t="shared" si="10"/>
        <v>0</v>
      </c>
      <c r="AQ34" s="178"/>
      <c r="AR34" s="178">
        <f t="shared" si="11"/>
        <v>0</v>
      </c>
      <c r="AS34" s="178"/>
      <c r="AT34" s="178">
        <f t="shared" si="12"/>
        <v>0</v>
      </c>
      <c r="AU34" s="178"/>
      <c r="AV34" s="178">
        <f t="shared" si="13"/>
        <v>0</v>
      </c>
      <c r="AW34" s="178"/>
      <c r="AX34" s="178">
        <f t="shared" si="14"/>
        <v>0</v>
      </c>
      <c r="AY34" s="178"/>
      <c r="AZ34" s="178">
        <f t="shared" si="15"/>
        <v>0</v>
      </c>
      <c r="BA34" s="136"/>
    </row>
    <row r="35" spans="2:53" s="151" customFormat="1" x14ac:dyDescent="0.35">
      <c r="B35" s="168">
        <f t="shared" ref="B35:B50" si="25">+B34+1</f>
        <v>25</v>
      </c>
      <c r="C35" s="169"/>
      <c r="D35" s="170">
        <v>1</v>
      </c>
      <c r="E35" s="171"/>
      <c r="F35" s="168" t="str">
        <f t="shared" si="21"/>
        <v>x</v>
      </c>
      <c r="G35" s="169"/>
      <c r="H35" s="169" t="s">
        <v>45</v>
      </c>
      <c r="I35" s="169"/>
      <c r="J35" s="168">
        <v>1</v>
      </c>
      <c r="K35" s="169">
        <v>23</v>
      </c>
      <c r="L35" s="168">
        <f t="shared" si="22"/>
        <v>1</v>
      </c>
      <c r="M35" s="169"/>
      <c r="N35" s="241">
        <f t="shared" si="16"/>
        <v>-1999</v>
      </c>
      <c r="O35" s="237">
        <f t="shared" si="17"/>
        <v>2023</v>
      </c>
      <c r="P35" s="234">
        <f t="shared" si="18"/>
        <v>24</v>
      </c>
      <c r="Q35" s="169"/>
      <c r="R35" s="172">
        <f t="shared" si="23"/>
        <v>1</v>
      </c>
      <c r="S35" s="173"/>
      <c r="T35" s="174">
        <f t="shared" si="19"/>
        <v>1</v>
      </c>
      <c r="U35" s="174"/>
      <c r="V35" s="175">
        <f t="shared" si="1"/>
        <v>0</v>
      </c>
      <c r="W35" s="171"/>
      <c r="X35" s="174">
        <f t="shared" si="20"/>
        <v>0</v>
      </c>
      <c r="Y35" s="174"/>
      <c r="Z35" s="174">
        <f t="shared" si="2"/>
        <v>0</v>
      </c>
      <c r="AA35" s="174"/>
      <c r="AB35" s="174">
        <f t="shared" si="3"/>
        <v>0</v>
      </c>
      <c r="AC35" s="174"/>
      <c r="AD35" s="174">
        <f t="shared" si="4"/>
        <v>0</v>
      </c>
      <c r="AE35" s="174"/>
      <c r="AF35" s="174">
        <f t="shared" si="5"/>
        <v>0</v>
      </c>
      <c r="AG35" s="174"/>
      <c r="AH35" s="174">
        <f t="shared" si="6"/>
        <v>0</v>
      </c>
      <c r="AI35" s="174"/>
      <c r="AJ35" s="174">
        <f t="shared" si="7"/>
        <v>0</v>
      </c>
      <c r="AK35" s="174"/>
      <c r="AL35" s="174">
        <f t="shared" si="8"/>
        <v>0</v>
      </c>
      <c r="AM35" s="174"/>
      <c r="AN35" s="174">
        <f t="shared" si="9"/>
        <v>0</v>
      </c>
      <c r="AO35" s="174"/>
      <c r="AP35" s="174">
        <f t="shared" si="10"/>
        <v>0</v>
      </c>
      <c r="AQ35" s="174"/>
      <c r="AR35" s="174">
        <f t="shared" si="11"/>
        <v>0</v>
      </c>
      <c r="AS35" s="174"/>
      <c r="AT35" s="174">
        <f t="shared" si="12"/>
        <v>0</v>
      </c>
      <c r="AU35" s="174"/>
      <c r="AV35" s="174">
        <f t="shared" si="13"/>
        <v>0</v>
      </c>
      <c r="AW35" s="174"/>
      <c r="AX35" s="174">
        <f t="shared" si="14"/>
        <v>0</v>
      </c>
      <c r="AY35" s="174"/>
      <c r="AZ35" s="174">
        <f t="shared" si="15"/>
        <v>0</v>
      </c>
      <c r="BA35" s="136"/>
    </row>
    <row r="36" spans="2:53" s="151" customFormat="1" x14ac:dyDescent="0.35">
      <c r="B36" s="168">
        <f t="shared" si="25"/>
        <v>26</v>
      </c>
      <c r="C36" s="169"/>
      <c r="D36" s="170">
        <v>1</v>
      </c>
      <c r="E36" s="171"/>
      <c r="F36" s="168" t="str">
        <f t="shared" si="21"/>
        <v>x</v>
      </c>
      <c r="G36" s="169"/>
      <c r="H36" s="169" t="s">
        <v>45</v>
      </c>
      <c r="I36" s="169"/>
      <c r="J36" s="168">
        <v>1</v>
      </c>
      <c r="K36" s="169">
        <v>23</v>
      </c>
      <c r="L36" s="168">
        <f t="shared" si="22"/>
        <v>1</v>
      </c>
      <c r="M36" s="169"/>
      <c r="N36" s="241">
        <f t="shared" si="16"/>
        <v>-1999</v>
      </c>
      <c r="O36" s="237">
        <f t="shared" si="17"/>
        <v>2023</v>
      </c>
      <c r="P36" s="234">
        <f t="shared" si="18"/>
        <v>24</v>
      </c>
      <c r="Q36" s="169"/>
      <c r="R36" s="172">
        <f t="shared" si="23"/>
        <v>1</v>
      </c>
      <c r="S36" s="173"/>
      <c r="T36" s="174">
        <f t="shared" si="19"/>
        <v>1</v>
      </c>
      <c r="U36" s="174"/>
      <c r="V36" s="175">
        <f t="shared" si="1"/>
        <v>0</v>
      </c>
      <c r="W36" s="171"/>
      <c r="X36" s="174">
        <f t="shared" si="20"/>
        <v>0</v>
      </c>
      <c r="Y36" s="174"/>
      <c r="Z36" s="174">
        <f t="shared" si="2"/>
        <v>0</v>
      </c>
      <c r="AA36" s="174"/>
      <c r="AB36" s="174">
        <f t="shared" si="3"/>
        <v>0</v>
      </c>
      <c r="AC36" s="174"/>
      <c r="AD36" s="174">
        <f t="shared" si="4"/>
        <v>0</v>
      </c>
      <c r="AE36" s="174"/>
      <c r="AF36" s="174">
        <f t="shared" si="5"/>
        <v>0</v>
      </c>
      <c r="AG36" s="174"/>
      <c r="AH36" s="174">
        <f t="shared" si="6"/>
        <v>0</v>
      </c>
      <c r="AI36" s="174"/>
      <c r="AJ36" s="174">
        <f t="shared" si="7"/>
        <v>0</v>
      </c>
      <c r="AK36" s="174"/>
      <c r="AL36" s="174">
        <f t="shared" si="8"/>
        <v>0</v>
      </c>
      <c r="AM36" s="174"/>
      <c r="AN36" s="174">
        <f t="shared" si="9"/>
        <v>0</v>
      </c>
      <c r="AO36" s="174"/>
      <c r="AP36" s="174">
        <f t="shared" si="10"/>
        <v>0</v>
      </c>
      <c r="AQ36" s="174"/>
      <c r="AR36" s="174">
        <f t="shared" si="11"/>
        <v>0</v>
      </c>
      <c r="AS36" s="174"/>
      <c r="AT36" s="174">
        <f t="shared" si="12"/>
        <v>0</v>
      </c>
      <c r="AU36" s="174"/>
      <c r="AV36" s="174">
        <f t="shared" si="13"/>
        <v>0</v>
      </c>
      <c r="AW36" s="174"/>
      <c r="AX36" s="174">
        <f t="shared" si="14"/>
        <v>0</v>
      </c>
      <c r="AY36" s="174"/>
      <c r="AZ36" s="174">
        <f t="shared" si="15"/>
        <v>0</v>
      </c>
      <c r="BA36" s="136"/>
    </row>
    <row r="37" spans="2:53" x14ac:dyDescent="0.35">
      <c r="B37" s="168">
        <f t="shared" si="25"/>
        <v>27</v>
      </c>
      <c r="C37" s="169"/>
      <c r="D37" s="170">
        <v>1</v>
      </c>
      <c r="E37" s="171"/>
      <c r="F37" s="168" t="str">
        <f t="shared" si="21"/>
        <v>x</v>
      </c>
      <c r="G37" s="169"/>
      <c r="H37" s="169" t="s">
        <v>45</v>
      </c>
      <c r="I37" s="169"/>
      <c r="J37" s="168">
        <v>1</v>
      </c>
      <c r="K37" s="169">
        <v>23</v>
      </c>
      <c r="L37" s="168">
        <f t="shared" si="22"/>
        <v>1</v>
      </c>
      <c r="M37" s="169"/>
      <c r="N37" s="241">
        <f t="shared" si="16"/>
        <v>-1999</v>
      </c>
      <c r="O37" s="237">
        <f t="shared" si="17"/>
        <v>2023</v>
      </c>
      <c r="P37" s="234">
        <f t="shared" si="18"/>
        <v>24</v>
      </c>
      <c r="Q37" s="169"/>
      <c r="R37" s="172">
        <f t="shared" si="23"/>
        <v>1</v>
      </c>
      <c r="S37" s="173"/>
      <c r="T37" s="174">
        <f t="shared" si="19"/>
        <v>1</v>
      </c>
      <c r="U37" s="174"/>
      <c r="V37" s="175">
        <f t="shared" si="1"/>
        <v>0</v>
      </c>
      <c r="W37" s="171"/>
      <c r="X37" s="174">
        <f t="shared" si="20"/>
        <v>0</v>
      </c>
      <c r="Y37" s="174"/>
      <c r="Z37" s="174">
        <f t="shared" si="2"/>
        <v>0</v>
      </c>
      <c r="AA37" s="174"/>
      <c r="AB37" s="174">
        <f t="shared" si="3"/>
        <v>0</v>
      </c>
      <c r="AC37" s="174"/>
      <c r="AD37" s="174">
        <f t="shared" si="4"/>
        <v>0</v>
      </c>
      <c r="AE37" s="174"/>
      <c r="AF37" s="174">
        <f t="shared" si="5"/>
        <v>0</v>
      </c>
      <c r="AG37" s="174"/>
      <c r="AH37" s="174">
        <f t="shared" si="6"/>
        <v>0</v>
      </c>
      <c r="AI37" s="174"/>
      <c r="AJ37" s="174">
        <f t="shared" si="7"/>
        <v>0</v>
      </c>
      <c r="AK37" s="174"/>
      <c r="AL37" s="174">
        <f t="shared" si="8"/>
        <v>0</v>
      </c>
      <c r="AM37" s="174"/>
      <c r="AN37" s="174">
        <f t="shared" si="9"/>
        <v>0</v>
      </c>
      <c r="AO37" s="174"/>
      <c r="AP37" s="174">
        <f t="shared" si="10"/>
        <v>0</v>
      </c>
      <c r="AQ37" s="174"/>
      <c r="AR37" s="174">
        <f t="shared" si="11"/>
        <v>0</v>
      </c>
      <c r="AS37" s="174"/>
      <c r="AT37" s="174">
        <f t="shared" si="12"/>
        <v>0</v>
      </c>
      <c r="AU37" s="174"/>
      <c r="AV37" s="174">
        <f t="shared" si="13"/>
        <v>0</v>
      </c>
      <c r="AW37" s="174"/>
      <c r="AX37" s="174">
        <f t="shared" si="14"/>
        <v>0</v>
      </c>
      <c r="AY37" s="174"/>
      <c r="AZ37" s="174">
        <f t="shared" si="15"/>
        <v>0</v>
      </c>
    </row>
    <row r="38" spans="2:53" s="181" customFormat="1" x14ac:dyDescent="0.35">
      <c r="B38" s="180">
        <f t="shared" si="25"/>
        <v>28</v>
      </c>
      <c r="D38" s="182">
        <v>1</v>
      </c>
      <c r="E38" s="183"/>
      <c r="F38" s="135" t="str">
        <f t="shared" si="21"/>
        <v>x</v>
      </c>
      <c r="H38" s="181" t="s">
        <v>45</v>
      </c>
      <c r="J38" s="180">
        <v>1</v>
      </c>
      <c r="K38" s="136">
        <v>23</v>
      </c>
      <c r="L38" s="135">
        <f t="shared" si="22"/>
        <v>1</v>
      </c>
      <c r="M38" s="136"/>
      <c r="N38" s="279">
        <f t="shared" si="16"/>
        <v>-1999</v>
      </c>
      <c r="O38" s="238">
        <f t="shared" si="17"/>
        <v>2023</v>
      </c>
      <c r="P38" s="280">
        <f t="shared" si="18"/>
        <v>24</v>
      </c>
      <c r="Q38" s="136"/>
      <c r="R38" s="176">
        <f t="shared" si="23"/>
        <v>1</v>
      </c>
      <c r="S38" s="184"/>
      <c r="T38" s="185">
        <f t="shared" si="19"/>
        <v>1</v>
      </c>
      <c r="U38" s="185"/>
      <c r="V38" s="186">
        <f t="shared" si="1"/>
        <v>0</v>
      </c>
      <c r="W38" s="183"/>
      <c r="X38" s="185">
        <f t="shared" si="20"/>
        <v>0</v>
      </c>
      <c r="Y38" s="185"/>
      <c r="Z38" s="185">
        <f t="shared" si="2"/>
        <v>0</v>
      </c>
      <c r="AA38" s="185"/>
      <c r="AB38" s="185">
        <f t="shared" si="3"/>
        <v>0</v>
      </c>
      <c r="AC38" s="185"/>
      <c r="AD38" s="185">
        <f t="shared" si="4"/>
        <v>0</v>
      </c>
      <c r="AE38" s="185"/>
      <c r="AF38" s="185">
        <f t="shared" si="5"/>
        <v>0</v>
      </c>
      <c r="AG38" s="185"/>
      <c r="AH38" s="185">
        <f t="shared" si="6"/>
        <v>0</v>
      </c>
      <c r="AI38" s="185"/>
      <c r="AJ38" s="185">
        <f t="shared" si="7"/>
        <v>0</v>
      </c>
      <c r="AK38" s="185"/>
      <c r="AL38" s="185">
        <f t="shared" si="8"/>
        <v>0</v>
      </c>
      <c r="AM38" s="185"/>
      <c r="AN38" s="185">
        <f t="shared" si="9"/>
        <v>0</v>
      </c>
      <c r="AO38" s="185"/>
      <c r="AP38" s="185">
        <f t="shared" si="10"/>
        <v>0</v>
      </c>
      <c r="AQ38" s="185"/>
      <c r="AR38" s="185">
        <f t="shared" si="11"/>
        <v>0</v>
      </c>
      <c r="AS38" s="185"/>
      <c r="AT38" s="185">
        <f t="shared" si="12"/>
        <v>0</v>
      </c>
      <c r="AU38" s="185"/>
      <c r="AV38" s="185">
        <f t="shared" si="13"/>
        <v>0</v>
      </c>
      <c r="AW38" s="185"/>
      <c r="AX38" s="185">
        <f t="shared" si="14"/>
        <v>0</v>
      </c>
      <c r="AY38" s="185"/>
      <c r="AZ38" s="185">
        <f t="shared" si="15"/>
        <v>0</v>
      </c>
    </row>
    <row r="39" spans="2:53" s="181" customFormat="1" x14ac:dyDescent="0.35">
      <c r="B39" s="180">
        <f t="shared" si="25"/>
        <v>29</v>
      </c>
      <c r="D39" s="182">
        <v>1</v>
      </c>
      <c r="E39" s="183"/>
      <c r="F39" s="135" t="str">
        <f t="shared" si="21"/>
        <v>x</v>
      </c>
      <c r="H39" s="181" t="s">
        <v>45</v>
      </c>
      <c r="J39" s="180">
        <v>1</v>
      </c>
      <c r="K39" s="136">
        <v>23</v>
      </c>
      <c r="L39" s="135">
        <f t="shared" si="22"/>
        <v>1</v>
      </c>
      <c r="M39" s="136"/>
      <c r="N39" s="279">
        <f t="shared" si="16"/>
        <v>-1999</v>
      </c>
      <c r="O39" s="238">
        <f t="shared" si="17"/>
        <v>2023</v>
      </c>
      <c r="P39" s="280">
        <f t="shared" si="18"/>
        <v>24</v>
      </c>
      <c r="Q39" s="136"/>
      <c r="R39" s="176">
        <f t="shared" si="23"/>
        <v>1</v>
      </c>
      <c r="S39" s="184"/>
      <c r="T39" s="185">
        <f t="shared" si="19"/>
        <v>1</v>
      </c>
      <c r="U39" s="185"/>
      <c r="V39" s="186">
        <f t="shared" si="1"/>
        <v>0</v>
      </c>
      <c r="W39" s="183"/>
      <c r="X39" s="185">
        <f t="shared" si="20"/>
        <v>0</v>
      </c>
      <c r="Y39" s="185"/>
      <c r="Z39" s="185">
        <f t="shared" si="2"/>
        <v>0</v>
      </c>
      <c r="AA39" s="185"/>
      <c r="AB39" s="185">
        <f t="shared" si="3"/>
        <v>0</v>
      </c>
      <c r="AC39" s="185"/>
      <c r="AD39" s="185">
        <f t="shared" si="4"/>
        <v>0</v>
      </c>
      <c r="AE39" s="185"/>
      <c r="AF39" s="185">
        <f t="shared" si="5"/>
        <v>0</v>
      </c>
      <c r="AG39" s="185"/>
      <c r="AH39" s="185">
        <f t="shared" si="6"/>
        <v>0</v>
      </c>
      <c r="AI39" s="185"/>
      <c r="AJ39" s="185">
        <f t="shared" si="7"/>
        <v>0</v>
      </c>
      <c r="AK39" s="185"/>
      <c r="AL39" s="185">
        <f t="shared" si="8"/>
        <v>0</v>
      </c>
      <c r="AM39" s="185"/>
      <c r="AN39" s="185">
        <f t="shared" si="9"/>
        <v>0</v>
      </c>
      <c r="AO39" s="185"/>
      <c r="AP39" s="185">
        <f t="shared" si="10"/>
        <v>0</v>
      </c>
      <c r="AQ39" s="185"/>
      <c r="AR39" s="185">
        <f t="shared" si="11"/>
        <v>0</v>
      </c>
      <c r="AS39" s="185"/>
      <c r="AT39" s="185">
        <f t="shared" si="12"/>
        <v>0</v>
      </c>
      <c r="AU39" s="185"/>
      <c r="AV39" s="185">
        <f t="shared" si="13"/>
        <v>0</v>
      </c>
      <c r="AW39" s="185"/>
      <c r="AX39" s="185">
        <f t="shared" si="14"/>
        <v>0</v>
      </c>
      <c r="AY39" s="185"/>
      <c r="AZ39" s="185">
        <f t="shared" si="15"/>
        <v>0</v>
      </c>
    </row>
    <row r="40" spans="2:53" s="181" customFormat="1" x14ac:dyDescent="0.35">
      <c r="B40" s="180">
        <f t="shared" si="25"/>
        <v>30</v>
      </c>
      <c r="D40" s="182">
        <v>1</v>
      </c>
      <c r="E40" s="183"/>
      <c r="F40" s="135" t="str">
        <f t="shared" si="21"/>
        <v>x</v>
      </c>
      <c r="H40" s="181" t="s">
        <v>45</v>
      </c>
      <c r="J40" s="180">
        <v>1</v>
      </c>
      <c r="K40" s="136">
        <v>23</v>
      </c>
      <c r="L40" s="135">
        <f t="shared" si="22"/>
        <v>1</v>
      </c>
      <c r="M40" s="136"/>
      <c r="N40" s="279">
        <f t="shared" si="16"/>
        <v>-1999</v>
      </c>
      <c r="O40" s="238">
        <f t="shared" si="17"/>
        <v>2023</v>
      </c>
      <c r="P40" s="280">
        <f t="shared" si="18"/>
        <v>24</v>
      </c>
      <c r="Q40" s="136"/>
      <c r="R40" s="176">
        <f t="shared" si="23"/>
        <v>1</v>
      </c>
      <c r="S40" s="184"/>
      <c r="T40" s="185">
        <f t="shared" si="19"/>
        <v>1</v>
      </c>
      <c r="U40" s="185"/>
      <c r="V40" s="186">
        <f t="shared" si="1"/>
        <v>0</v>
      </c>
      <c r="W40" s="183"/>
      <c r="X40" s="185">
        <f t="shared" si="20"/>
        <v>0</v>
      </c>
      <c r="Y40" s="185"/>
      <c r="Z40" s="185">
        <f t="shared" si="2"/>
        <v>0</v>
      </c>
      <c r="AA40" s="185"/>
      <c r="AB40" s="185">
        <f t="shared" si="3"/>
        <v>0</v>
      </c>
      <c r="AC40" s="185"/>
      <c r="AD40" s="185">
        <f t="shared" si="4"/>
        <v>0</v>
      </c>
      <c r="AE40" s="185"/>
      <c r="AF40" s="185">
        <f t="shared" si="5"/>
        <v>0</v>
      </c>
      <c r="AG40" s="185"/>
      <c r="AH40" s="185">
        <f t="shared" si="6"/>
        <v>0</v>
      </c>
      <c r="AI40" s="185"/>
      <c r="AJ40" s="185">
        <f t="shared" si="7"/>
        <v>0</v>
      </c>
      <c r="AK40" s="185"/>
      <c r="AL40" s="185">
        <f t="shared" si="8"/>
        <v>0</v>
      </c>
      <c r="AM40" s="185"/>
      <c r="AN40" s="185">
        <f t="shared" si="9"/>
        <v>0</v>
      </c>
      <c r="AO40" s="185"/>
      <c r="AP40" s="185">
        <f t="shared" si="10"/>
        <v>0</v>
      </c>
      <c r="AQ40" s="185"/>
      <c r="AR40" s="185">
        <f t="shared" si="11"/>
        <v>0</v>
      </c>
      <c r="AS40" s="185"/>
      <c r="AT40" s="185">
        <f t="shared" si="12"/>
        <v>0</v>
      </c>
      <c r="AU40" s="185"/>
      <c r="AV40" s="185">
        <f t="shared" si="13"/>
        <v>0</v>
      </c>
      <c r="AW40" s="185"/>
      <c r="AX40" s="185">
        <f t="shared" si="14"/>
        <v>0</v>
      </c>
      <c r="AY40" s="185"/>
      <c r="AZ40" s="185">
        <f t="shared" si="15"/>
        <v>0</v>
      </c>
    </row>
    <row r="41" spans="2:53" s="181" customFormat="1" x14ac:dyDescent="0.35">
      <c r="B41" s="168">
        <f t="shared" si="25"/>
        <v>31</v>
      </c>
      <c r="C41" s="169"/>
      <c r="D41" s="170">
        <v>1</v>
      </c>
      <c r="E41" s="171"/>
      <c r="F41" s="168" t="str">
        <f t="shared" si="21"/>
        <v>x</v>
      </c>
      <c r="G41" s="169"/>
      <c r="H41" s="169" t="s">
        <v>45</v>
      </c>
      <c r="I41" s="169"/>
      <c r="J41" s="168">
        <v>1</v>
      </c>
      <c r="K41" s="169">
        <v>23</v>
      </c>
      <c r="L41" s="168">
        <f t="shared" si="22"/>
        <v>1</v>
      </c>
      <c r="M41" s="169"/>
      <c r="N41" s="241">
        <f t="shared" si="16"/>
        <v>-1999</v>
      </c>
      <c r="O41" s="237">
        <f t="shared" si="17"/>
        <v>2023</v>
      </c>
      <c r="P41" s="234">
        <f t="shared" si="18"/>
        <v>24</v>
      </c>
      <c r="Q41" s="169"/>
      <c r="R41" s="172">
        <f t="shared" si="23"/>
        <v>1</v>
      </c>
      <c r="S41" s="173"/>
      <c r="T41" s="174">
        <f t="shared" si="19"/>
        <v>1</v>
      </c>
      <c r="U41" s="174"/>
      <c r="V41" s="175">
        <f t="shared" si="1"/>
        <v>0</v>
      </c>
      <c r="W41" s="171"/>
      <c r="X41" s="174">
        <f t="shared" si="20"/>
        <v>0</v>
      </c>
      <c r="Y41" s="174"/>
      <c r="Z41" s="174">
        <f t="shared" si="2"/>
        <v>0</v>
      </c>
      <c r="AA41" s="174"/>
      <c r="AB41" s="174">
        <f t="shared" si="3"/>
        <v>0</v>
      </c>
      <c r="AC41" s="174"/>
      <c r="AD41" s="174">
        <f t="shared" si="4"/>
        <v>0</v>
      </c>
      <c r="AE41" s="174"/>
      <c r="AF41" s="174">
        <f t="shared" si="5"/>
        <v>0</v>
      </c>
      <c r="AG41" s="174"/>
      <c r="AH41" s="174">
        <f t="shared" si="6"/>
        <v>0</v>
      </c>
      <c r="AI41" s="174"/>
      <c r="AJ41" s="174">
        <f t="shared" si="7"/>
        <v>0</v>
      </c>
      <c r="AK41" s="174"/>
      <c r="AL41" s="174">
        <f t="shared" si="8"/>
        <v>0</v>
      </c>
      <c r="AM41" s="174"/>
      <c r="AN41" s="174">
        <f t="shared" si="9"/>
        <v>0</v>
      </c>
      <c r="AO41" s="174"/>
      <c r="AP41" s="174">
        <f t="shared" si="10"/>
        <v>0</v>
      </c>
      <c r="AQ41" s="174"/>
      <c r="AR41" s="174">
        <f t="shared" si="11"/>
        <v>0</v>
      </c>
      <c r="AS41" s="174"/>
      <c r="AT41" s="174">
        <f t="shared" si="12"/>
        <v>0</v>
      </c>
      <c r="AU41" s="174"/>
      <c r="AV41" s="174">
        <f t="shared" si="13"/>
        <v>0</v>
      </c>
      <c r="AW41" s="174"/>
      <c r="AX41" s="174">
        <f t="shared" si="14"/>
        <v>0</v>
      </c>
      <c r="AY41" s="174"/>
      <c r="AZ41" s="174">
        <f t="shared" si="15"/>
        <v>0</v>
      </c>
    </row>
    <row r="42" spans="2:53" s="181" customFormat="1" x14ac:dyDescent="0.35">
      <c r="B42" s="168">
        <f t="shared" si="25"/>
        <v>32</v>
      </c>
      <c r="C42" s="169"/>
      <c r="D42" s="170">
        <v>1</v>
      </c>
      <c r="E42" s="171"/>
      <c r="F42" s="168" t="str">
        <f t="shared" si="21"/>
        <v>x</v>
      </c>
      <c r="G42" s="169"/>
      <c r="H42" s="169" t="s">
        <v>45</v>
      </c>
      <c r="I42" s="169"/>
      <c r="J42" s="168">
        <v>1</v>
      </c>
      <c r="K42" s="169">
        <v>23</v>
      </c>
      <c r="L42" s="168">
        <f t="shared" si="22"/>
        <v>1</v>
      </c>
      <c r="M42" s="169"/>
      <c r="N42" s="241">
        <f t="shared" si="16"/>
        <v>-1999</v>
      </c>
      <c r="O42" s="237">
        <f t="shared" si="17"/>
        <v>2023</v>
      </c>
      <c r="P42" s="234">
        <f t="shared" si="18"/>
        <v>24</v>
      </c>
      <c r="Q42" s="169"/>
      <c r="R42" s="172">
        <f t="shared" si="23"/>
        <v>1</v>
      </c>
      <c r="S42" s="173"/>
      <c r="T42" s="174">
        <f t="shared" si="19"/>
        <v>1</v>
      </c>
      <c r="U42" s="174"/>
      <c r="V42" s="175">
        <f t="shared" si="1"/>
        <v>0</v>
      </c>
      <c r="W42" s="171"/>
      <c r="X42" s="174">
        <f t="shared" si="20"/>
        <v>0</v>
      </c>
      <c r="Y42" s="174"/>
      <c r="Z42" s="174">
        <f t="shared" si="2"/>
        <v>0</v>
      </c>
      <c r="AA42" s="174"/>
      <c r="AB42" s="174">
        <f t="shared" si="3"/>
        <v>0</v>
      </c>
      <c r="AC42" s="174"/>
      <c r="AD42" s="174">
        <f t="shared" si="4"/>
        <v>0</v>
      </c>
      <c r="AE42" s="174"/>
      <c r="AF42" s="174">
        <f t="shared" si="5"/>
        <v>0</v>
      </c>
      <c r="AG42" s="174"/>
      <c r="AH42" s="174">
        <f t="shared" si="6"/>
        <v>0</v>
      </c>
      <c r="AI42" s="174"/>
      <c r="AJ42" s="174">
        <f t="shared" si="7"/>
        <v>0</v>
      </c>
      <c r="AK42" s="174"/>
      <c r="AL42" s="174">
        <f t="shared" si="8"/>
        <v>0</v>
      </c>
      <c r="AM42" s="174"/>
      <c r="AN42" s="174">
        <f t="shared" si="9"/>
        <v>0</v>
      </c>
      <c r="AO42" s="174"/>
      <c r="AP42" s="174">
        <f t="shared" si="10"/>
        <v>0</v>
      </c>
      <c r="AQ42" s="174"/>
      <c r="AR42" s="174">
        <f t="shared" si="11"/>
        <v>0</v>
      </c>
      <c r="AS42" s="174"/>
      <c r="AT42" s="174">
        <f t="shared" si="12"/>
        <v>0</v>
      </c>
      <c r="AU42" s="174"/>
      <c r="AV42" s="174">
        <f t="shared" si="13"/>
        <v>0</v>
      </c>
      <c r="AW42" s="174"/>
      <c r="AX42" s="174">
        <f t="shared" si="14"/>
        <v>0</v>
      </c>
      <c r="AY42" s="174"/>
      <c r="AZ42" s="174">
        <f t="shared" si="15"/>
        <v>0</v>
      </c>
    </row>
    <row r="43" spans="2:53" s="181" customFormat="1" x14ac:dyDescent="0.35">
      <c r="B43" s="168">
        <f t="shared" si="25"/>
        <v>33</v>
      </c>
      <c r="C43" s="169"/>
      <c r="D43" s="170">
        <v>1</v>
      </c>
      <c r="E43" s="171"/>
      <c r="F43" s="168" t="str">
        <f t="shared" si="21"/>
        <v>x</v>
      </c>
      <c r="G43" s="169"/>
      <c r="H43" s="169" t="s">
        <v>45</v>
      </c>
      <c r="I43" s="169"/>
      <c r="J43" s="168">
        <v>1</v>
      </c>
      <c r="K43" s="169">
        <v>23</v>
      </c>
      <c r="L43" s="168">
        <f t="shared" si="22"/>
        <v>1</v>
      </c>
      <c r="M43" s="169"/>
      <c r="N43" s="241">
        <f t="shared" si="16"/>
        <v>-1999</v>
      </c>
      <c r="O43" s="237">
        <f t="shared" si="17"/>
        <v>2023</v>
      </c>
      <c r="P43" s="234">
        <f t="shared" si="18"/>
        <v>24</v>
      </c>
      <c r="Q43" s="169"/>
      <c r="R43" s="172">
        <f t="shared" si="23"/>
        <v>1</v>
      </c>
      <c r="S43" s="173"/>
      <c r="T43" s="174">
        <f t="shared" si="19"/>
        <v>1</v>
      </c>
      <c r="U43" s="174"/>
      <c r="V43" s="175">
        <f t="shared" si="1"/>
        <v>0</v>
      </c>
      <c r="W43" s="171"/>
      <c r="X43" s="174">
        <f t="shared" si="20"/>
        <v>0</v>
      </c>
      <c r="Y43" s="174"/>
      <c r="Z43" s="174">
        <f t="shared" si="2"/>
        <v>0</v>
      </c>
      <c r="AA43" s="174"/>
      <c r="AB43" s="174">
        <f t="shared" si="3"/>
        <v>0</v>
      </c>
      <c r="AC43" s="174"/>
      <c r="AD43" s="174">
        <f t="shared" si="4"/>
        <v>0</v>
      </c>
      <c r="AE43" s="174"/>
      <c r="AF43" s="174">
        <f t="shared" si="5"/>
        <v>0</v>
      </c>
      <c r="AG43" s="174"/>
      <c r="AH43" s="174">
        <f t="shared" si="6"/>
        <v>0</v>
      </c>
      <c r="AI43" s="174"/>
      <c r="AJ43" s="174">
        <f t="shared" si="7"/>
        <v>0</v>
      </c>
      <c r="AK43" s="174"/>
      <c r="AL43" s="174">
        <f t="shared" si="8"/>
        <v>0</v>
      </c>
      <c r="AM43" s="174"/>
      <c r="AN43" s="174">
        <f t="shared" si="9"/>
        <v>0</v>
      </c>
      <c r="AO43" s="174"/>
      <c r="AP43" s="174">
        <f t="shared" si="10"/>
        <v>0</v>
      </c>
      <c r="AQ43" s="174"/>
      <c r="AR43" s="174">
        <f t="shared" si="11"/>
        <v>0</v>
      </c>
      <c r="AS43" s="174"/>
      <c r="AT43" s="174">
        <f t="shared" si="12"/>
        <v>0</v>
      </c>
      <c r="AU43" s="174"/>
      <c r="AV43" s="174">
        <f t="shared" si="13"/>
        <v>0</v>
      </c>
      <c r="AW43" s="174"/>
      <c r="AX43" s="174">
        <f t="shared" si="14"/>
        <v>0</v>
      </c>
      <c r="AY43" s="174"/>
      <c r="AZ43" s="174">
        <f t="shared" si="15"/>
        <v>0</v>
      </c>
    </row>
    <row r="44" spans="2:53" s="181" customFormat="1" x14ac:dyDescent="0.35">
      <c r="B44" s="180">
        <f t="shared" si="25"/>
        <v>34</v>
      </c>
      <c r="D44" s="182">
        <v>1</v>
      </c>
      <c r="E44" s="183"/>
      <c r="F44" s="135" t="str">
        <f t="shared" si="21"/>
        <v>x</v>
      </c>
      <c r="H44" s="181" t="s">
        <v>45</v>
      </c>
      <c r="J44" s="180">
        <v>1</v>
      </c>
      <c r="K44" s="136">
        <v>23</v>
      </c>
      <c r="L44" s="135">
        <f t="shared" si="22"/>
        <v>1</v>
      </c>
      <c r="M44" s="136"/>
      <c r="N44" s="279">
        <f t="shared" si="16"/>
        <v>-1999</v>
      </c>
      <c r="O44" s="238">
        <f t="shared" si="17"/>
        <v>2023</v>
      </c>
      <c r="P44" s="280">
        <f t="shared" si="18"/>
        <v>24</v>
      </c>
      <c r="Q44" s="136"/>
      <c r="R44" s="176">
        <f t="shared" si="23"/>
        <v>1</v>
      </c>
      <c r="S44" s="184"/>
      <c r="T44" s="185">
        <f t="shared" si="19"/>
        <v>1</v>
      </c>
      <c r="U44" s="185"/>
      <c r="V44" s="186">
        <f t="shared" si="1"/>
        <v>0</v>
      </c>
      <c r="W44" s="183"/>
      <c r="X44" s="185">
        <f t="shared" si="20"/>
        <v>0</v>
      </c>
      <c r="Y44" s="185"/>
      <c r="Z44" s="185">
        <f t="shared" si="2"/>
        <v>0</v>
      </c>
      <c r="AA44" s="185"/>
      <c r="AB44" s="185">
        <f t="shared" si="3"/>
        <v>0</v>
      </c>
      <c r="AC44" s="185"/>
      <c r="AD44" s="185">
        <f t="shared" si="4"/>
        <v>0</v>
      </c>
      <c r="AE44" s="185"/>
      <c r="AF44" s="185">
        <f t="shared" si="5"/>
        <v>0</v>
      </c>
      <c r="AG44" s="185"/>
      <c r="AH44" s="185">
        <f t="shared" si="6"/>
        <v>0</v>
      </c>
      <c r="AI44" s="185"/>
      <c r="AJ44" s="185">
        <f t="shared" si="7"/>
        <v>0</v>
      </c>
      <c r="AK44" s="185"/>
      <c r="AL44" s="185">
        <f t="shared" si="8"/>
        <v>0</v>
      </c>
      <c r="AM44" s="185"/>
      <c r="AN44" s="185">
        <f t="shared" si="9"/>
        <v>0</v>
      </c>
      <c r="AO44" s="185"/>
      <c r="AP44" s="185">
        <f t="shared" si="10"/>
        <v>0</v>
      </c>
      <c r="AQ44" s="185"/>
      <c r="AR44" s="185">
        <f t="shared" si="11"/>
        <v>0</v>
      </c>
      <c r="AS44" s="185"/>
      <c r="AT44" s="185">
        <f t="shared" si="12"/>
        <v>0</v>
      </c>
      <c r="AU44" s="185"/>
      <c r="AV44" s="185">
        <f t="shared" si="13"/>
        <v>0</v>
      </c>
      <c r="AW44" s="185"/>
      <c r="AX44" s="185">
        <f t="shared" si="14"/>
        <v>0</v>
      </c>
      <c r="AY44" s="185"/>
      <c r="AZ44" s="185">
        <f t="shared" si="15"/>
        <v>0</v>
      </c>
    </row>
    <row r="45" spans="2:53" s="181" customFormat="1" x14ac:dyDescent="0.35">
      <c r="B45" s="180">
        <f t="shared" si="25"/>
        <v>35</v>
      </c>
      <c r="D45" s="182">
        <v>1</v>
      </c>
      <c r="E45" s="183"/>
      <c r="F45" s="135" t="str">
        <f t="shared" si="21"/>
        <v>x</v>
      </c>
      <c r="H45" s="181" t="s">
        <v>45</v>
      </c>
      <c r="J45" s="180">
        <v>1</v>
      </c>
      <c r="K45" s="136">
        <v>23</v>
      </c>
      <c r="L45" s="135">
        <f t="shared" si="22"/>
        <v>1</v>
      </c>
      <c r="M45" s="136"/>
      <c r="N45" s="279">
        <f t="shared" si="16"/>
        <v>-1999</v>
      </c>
      <c r="O45" s="238">
        <f t="shared" si="17"/>
        <v>2023</v>
      </c>
      <c r="P45" s="280">
        <f t="shared" si="18"/>
        <v>24</v>
      </c>
      <c r="Q45" s="136"/>
      <c r="R45" s="176">
        <f t="shared" si="23"/>
        <v>1</v>
      </c>
      <c r="S45" s="184"/>
      <c r="T45" s="185">
        <f t="shared" si="19"/>
        <v>1</v>
      </c>
      <c r="U45" s="185"/>
      <c r="V45" s="186">
        <f t="shared" si="1"/>
        <v>0</v>
      </c>
      <c r="W45" s="183"/>
      <c r="X45" s="185">
        <f t="shared" si="20"/>
        <v>0</v>
      </c>
      <c r="Y45" s="185"/>
      <c r="Z45" s="185">
        <f t="shared" si="2"/>
        <v>0</v>
      </c>
      <c r="AA45" s="185"/>
      <c r="AB45" s="185">
        <f t="shared" si="3"/>
        <v>0</v>
      </c>
      <c r="AC45" s="185"/>
      <c r="AD45" s="185">
        <f t="shared" si="4"/>
        <v>0</v>
      </c>
      <c r="AE45" s="185"/>
      <c r="AF45" s="185">
        <f t="shared" si="5"/>
        <v>0</v>
      </c>
      <c r="AG45" s="185"/>
      <c r="AH45" s="185">
        <f t="shared" si="6"/>
        <v>0</v>
      </c>
      <c r="AI45" s="185"/>
      <c r="AJ45" s="185">
        <f t="shared" si="7"/>
        <v>0</v>
      </c>
      <c r="AK45" s="185"/>
      <c r="AL45" s="185">
        <f t="shared" si="8"/>
        <v>0</v>
      </c>
      <c r="AM45" s="185"/>
      <c r="AN45" s="185">
        <f t="shared" si="9"/>
        <v>0</v>
      </c>
      <c r="AO45" s="185"/>
      <c r="AP45" s="185">
        <f t="shared" si="10"/>
        <v>0</v>
      </c>
      <c r="AQ45" s="185"/>
      <c r="AR45" s="185">
        <f t="shared" si="11"/>
        <v>0</v>
      </c>
      <c r="AS45" s="185"/>
      <c r="AT45" s="185">
        <f t="shared" si="12"/>
        <v>0</v>
      </c>
      <c r="AU45" s="185"/>
      <c r="AV45" s="185">
        <f t="shared" si="13"/>
        <v>0</v>
      </c>
      <c r="AW45" s="185"/>
      <c r="AX45" s="185">
        <f t="shared" si="14"/>
        <v>0</v>
      </c>
      <c r="AY45" s="185"/>
      <c r="AZ45" s="185">
        <f t="shared" si="15"/>
        <v>0</v>
      </c>
    </row>
    <row r="46" spans="2:53" s="181" customFormat="1" x14ac:dyDescent="0.35">
      <c r="B46" s="180">
        <f t="shared" si="25"/>
        <v>36</v>
      </c>
      <c r="D46" s="182">
        <v>1</v>
      </c>
      <c r="E46" s="183"/>
      <c r="F46" s="135" t="str">
        <f t="shared" si="21"/>
        <v>x</v>
      </c>
      <c r="H46" s="181" t="s">
        <v>45</v>
      </c>
      <c r="J46" s="180">
        <v>1</v>
      </c>
      <c r="K46" s="136">
        <v>23</v>
      </c>
      <c r="L46" s="135">
        <f t="shared" si="22"/>
        <v>1</v>
      </c>
      <c r="M46" s="136"/>
      <c r="N46" s="279">
        <f t="shared" si="16"/>
        <v>-1999</v>
      </c>
      <c r="O46" s="238">
        <f t="shared" si="17"/>
        <v>2023</v>
      </c>
      <c r="P46" s="280">
        <f t="shared" si="18"/>
        <v>24</v>
      </c>
      <c r="Q46" s="136"/>
      <c r="R46" s="176">
        <f t="shared" si="23"/>
        <v>1</v>
      </c>
      <c r="S46" s="184"/>
      <c r="T46" s="185">
        <f t="shared" si="19"/>
        <v>1</v>
      </c>
      <c r="U46" s="185"/>
      <c r="V46" s="186">
        <f t="shared" si="1"/>
        <v>0</v>
      </c>
      <c r="W46" s="183"/>
      <c r="X46" s="185">
        <f t="shared" si="20"/>
        <v>0</v>
      </c>
      <c r="Y46" s="185"/>
      <c r="Z46" s="185">
        <f t="shared" si="2"/>
        <v>0</v>
      </c>
      <c r="AA46" s="185"/>
      <c r="AB46" s="185">
        <f t="shared" si="3"/>
        <v>0</v>
      </c>
      <c r="AC46" s="185"/>
      <c r="AD46" s="185">
        <f t="shared" si="4"/>
        <v>0</v>
      </c>
      <c r="AE46" s="185"/>
      <c r="AF46" s="185">
        <f t="shared" si="5"/>
        <v>0</v>
      </c>
      <c r="AG46" s="185"/>
      <c r="AH46" s="185">
        <f t="shared" si="6"/>
        <v>0</v>
      </c>
      <c r="AI46" s="185"/>
      <c r="AJ46" s="185">
        <f t="shared" si="7"/>
        <v>0</v>
      </c>
      <c r="AK46" s="185"/>
      <c r="AL46" s="185">
        <f t="shared" si="8"/>
        <v>0</v>
      </c>
      <c r="AM46" s="185"/>
      <c r="AN46" s="185">
        <f t="shared" si="9"/>
        <v>0</v>
      </c>
      <c r="AO46" s="185"/>
      <c r="AP46" s="185">
        <f t="shared" si="10"/>
        <v>0</v>
      </c>
      <c r="AQ46" s="185"/>
      <c r="AR46" s="185">
        <f t="shared" si="11"/>
        <v>0</v>
      </c>
      <c r="AS46" s="185"/>
      <c r="AT46" s="185">
        <f t="shared" si="12"/>
        <v>0</v>
      </c>
      <c r="AU46" s="185"/>
      <c r="AV46" s="185">
        <f t="shared" si="13"/>
        <v>0</v>
      </c>
      <c r="AW46" s="185"/>
      <c r="AX46" s="185">
        <f t="shared" si="14"/>
        <v>0</v>
      </c>
      <c r="AY46" s="185"/>
      <c r="AZ46" s="185">
        <f t="shared" si="15"/>
        <v>0</v>
      </c>
    </row>
    <row r="47" spans="2:53" s="181" customFormat="1" x14ac:dyDescent="0.35">
      <c r="B47" s="168">
        <f t="shared" si="25"/>
        <v>37</v>
      </c>
      <c r="C47" s="169"/>
      <c r="D47" s="170">
        <v>1</v>
      </c>
      <c r="E47" s="171"/>
      <c r="F47" s="168" t="str">
        <f t="shared" si="21"/>
        <v>x</v>
      </c>
      <c r="G47" s="169"/>
      <c r="H47" s="169" t="s">
        <v>45</v>
      </c>
      <c r="I47" s="169"/>
      <c r="J47" s="168">
        <v>1</v>
      </c>
      <c r="K47" s="169">
        <v>23</v>
      </c>
      <c r="L47" s="168">
        <f t="shared" si="22"/>
        <v>1</v>
      </c>
      <c r="M47" s="169"/>
      <c r="N47" s="241">
        <f t="shared" si="16"/>
        <v>-1999</v>
      </c>
      <c r="O47" s="237">
        <f t="shared" si="17"/>
        <v>2023</v>
      </c>
      <c r="P47" s="234">
        <f t="shared" si="18"/>
        <v>24</v>
      </c>
      <c r="Q47" s="169"/>
      <c r="R47" s="172">
        <f t="shared" si="23"/>
        <v>1</v>
      </c>
      <c r="S47" s="173"/>
      <c r="T47" s="174">
        <f t="shared" si="19"/>
        <v>1</v>
      </c>
      <c r="U47" s="174"/>
      <c r="V47" s="175">
        <f t="shared" si="1"/>
        <v>0</v>
      </c>
      <c r="W47" s="171"/>
      <c r="X47" s="174">
        <f t="shared" si="20"/>
        <v>0</v>
      </c>
      <c r="Y47" s="174"/>
      <c r="Z47" s="174">
        <f t="shared" si="2"/>
        <v>0</v>
      </c>
      <c r="AA47" s="174"/>
      <c r="AB47" s="174">
        <f t="shared" si="3"/>
        <v>0</v>
      </c>
      <c r="AC47" s="174"/>
      <c r="AD47" s="174">
        <f t="shared" si="4"/>
        <v>0</v>
      </c>
      <c r="AE47" s="174"/>
      <c r="AF47" s="174">
        <f t="shared" si="5"/>
        <v>0</v>
      </c>
      <c r="AG47" s="174"/>
      <c r="AH47" s="174">
        <f t="shared" si="6"/>
        <v>0</v>
      </c>
      <c r="AI47" s="174"/>
      <c r="AJ47" s="174">
        <f t="shared" si="7"/>
        <v>0</v>
      </c>
      <c r="AK47" s="174"/>
      <c r="AL47" s="174">
        <f t="shared" si="8"/>
        <v>0</v>
      </c>
      <c r="AM47" s="174"/>
      <c r="AN47" s="174">
        <f t="shared" si="9"/>
        <v>0</v>
      </c>
      <c r="AO47" s="174"/>
      <c r="AP47" s="174">
        <f t="shared" si="10"/>
        <v>0</v>
      </c>
      <c r="AQ47" s="174"/>
      <c r="AR47" s="174">
        <f t="shared" si="11"/>
        <v>0</v>
      </c>
      <c r="AS47" s="174"/>
      <c r="AT47" s="174">
        <f t="shared" si="12"/>
        <v>0</v>
      </c>
      <c r="AU47" s="174"/>
      <c r="AV47" s="174">
        <f t="shared" si="13"/>
        <v>0</v>
      </c>
      <c r="AW47" s="174"/>
      <c r="AX47" s="174">
        <f t="shared" si="14"/>
        <v>0</v>
      </c>
      <c r="AY47" s="174"/>
      <c r="AZ47" s="174">
        <f t="shared" si="15"/>
        <v>0</v>
      </c>
    </row>
    <row r="48" spans="2:53" s="181" customFormat="1" x14ac:dyDescent="0.35">
      <c r="B48" s="168">
        <f t="shared" si="25"/>
        <v>38</v>
      </c>
      <c r="C48" s="169"/>
      <c r="D48" s="170">
        <v>1</v>
      </c>
      <c r="E48" s="171"/>
      <c r="F48" s="168" t="str">
        <f t="shared" si="21"/>
        <v>x</v>
      </c>
      <c r="G48" s="169"/>
      <c r="H48" s="169" t="s">
        <v>45</v>
      </c>
      <c r="I48" s="169"/>
      <c r="J48" s="168">
        <v>1</v>
      </c>
      <c r="K48" s="169">
        <v>23</v>
      </c>
      <c r="L48" s="168">
        <f t="shared" si="22"/>
        <v>1</v>
      </c>
      <c r="M48" s="169"/>
      <c r="N48" s="241">
        <f t="shared" si="16"/>
        <v>-1999</v>
      </c>
      <c r="O48" s="237">
        <f t="shared" si="17"/>
        <v>2023</v>
      </c>
      <c r="P48" s="234">
        <f t="shared" si="18"/>
        <v>24</v>
      </c>
      <c r="Q48" s="169"/>
      <c r="R48" s="172">
        <f t="shared" si="23"/>
        <v>1</v>
      </c>
      <c r="S48" s="173"/>
      <c r="T48" s="174">
        <f t="shared" si="19"/>
        <v>1</v>
      </c>
      <c r="U48" s="174"/>
      <c r="V48" s="175">
        <f t="shared" si="1"/>
        <v>0</v>
      </c>
      <c r="W48" s="171"/>
      <c r="X48" s="174">
        <f t="shared" si="20"/>
        <v>0</v>
      </c>
      <c r="Y48" s="174"/>
      <c r="Z48" s="174">
        <f t="shared" si="2"/>
        <v>0</v>
      </c>
      <c r="AA48" s="174"/>
      <c r="AB48" s="174">
        <f t="shared" si="3"/>
        <v>0</v>
      </c>
      <c r="AC48" s="174"/>
      <c r="AD48" s="174">
        <f t="shared" si="4"/>
        <v>0</v>
      </c>
      <c r="AE48" s="174"/>
      <c r="AF48" s="174">
        <f t="shared" si="5"/>
        <v>0</v>
      </c>
      <c r="AG48" s="174"/>
      <c r="AH48" s="174">
        <f t="shared" si="6"/>
        <v>0</v>
      </c>
      <c r="AI48" s="174"/>
      <c r="AJ48" s="174">
        <f t="shared" si="7"/>
        <v>0</v>
      </c>
      <c r="AK48" s="174"/>
      <c r="AL48" s="174">
        <f t="shared" si="8"/>
        <v>0</v>
      </c>
      <c r="AM48" s="174"/>
      <c r="AN48" s="174">
        <f t="shared" si="9"/>
        <v>0</v>
      </c>
      <c r="AO48" s="174"/>
      <c r="AP48" s="174">
        <f t="shared" si="10"/>
        <v>0</v>
      </c>
      <c r="AQ48" s="174"/>
      <c r="AR48" s="174">
        <f t="shared" si="11"/>
        <v>0</v>
      </c>
      <c r="AS48" s="174"/>
      <c r="AT48" s="174">
        <f t="shared" si="12"/>
        <v>0</v>
      </c>
      <c r="AU48" s="174"/>
      <c r="AV48" s="174">
        <f t="shared" si="13"/>
        <v>0</v>
      </c>
      <c r="AW48" s="174"/>
      <c r="AX48" s="174">
        <f t="shared" si="14"/>
        <v>0</v>
      </c>
      <c r="AY48" s="174"/>
      <c r="AZ48" s="174">
        <f t="shared" si="15"/>
        <v>0</v>
      </c>
    </row>
    <row r="49" spans="2:53" s="181" customFormat="1" x14ac:dyDescent="0.35">
      <c r="B49" s="168">
        <f t="shared" si="25"/>
        <v>39</v>
      </c>
      <c r="C49" s="169"/>
      <c r="D49" s="170">
        <v>1</v>
      </c>
      <c r="E49" s="171"/>
      <c r="F49" s="168" t="str">
        <f t="shared" si="21"/>
        <v>x</v>
      </c>
      <c r="G49" s="169"/>
      <c r="H49" s="169" t="s">
        <v>45</v>
      </c>
      <c r="I49" s="169"/>
      <c r="J49" s="168">
        <v>1</v>
      </c>
      <c r="K49" s="169">
        <v>23</v>
      </c>
      <c r="L49" s="168">
        <f t="shared" si="22"/>
        <v>1</v>
      </c>
      <c r="M49" s="169"/>
      <c r="N49" s="241">
        <f t="shared" si="16"/>
        <v>-1999</v>
      </c>
      <c r="O49" s="237">
        <f t="shared" si="17"/>
        <v>2023</v>
      </c>
      <c r="P49" s="234">
        <f t="shared" si="18"/>
        <v>24</v>
      </c>
      <c r="Q49" s="169"/>
      <c r="R49" s="172">
        <f t="shared" si="23"/>
        <v>1</v>
      </c>
      <c r="S49" s="173"/>
      <c r="T49" s="174">
        <f t="shared" si="19"/>
        <v>1</v>
      </c>
      <c r="U49" s="174"/>
      <c r="V49" s="175">
        <f t="shared" si="1"/>
        <v>0</v>
      </c>
      <c r="W49" s="171"/>
      <c r="X49" s="174">
        <f t="shared" si="20"/>
        <v>0</v>
      </c>
      <c r="Y49" s="174"/>
      <c r="Z49" s="174">
        <f t="shared" si="2"/>
        <v>0</v>
      </c>
      <c r="AA49" s="174"/>
      <c r="AB49" s="174">
        <f t="shared" si="3"/>
        <v>0</v>
      </c>
      <c r="AC49" s="174"/>
      <c r="AD49" s="174">
        <f t="shared" si="4"/>
        <v>0</v>
      </c>
      <c r="AE49" s="174"/>
      <c r="AF49" s="174">
        <f t="shared" si="5"/>
        <v>0</v>
      </c>
      <c r="AG49" s="174"/>
      <c r="AH49" s="174">
        <f t="shared" si="6"/>
        <v>0</v>
      </c>
      <c r="AI49" s="174"/>
      <c r="AJ49" s="174">
        <f t="shared" si="7"/>
        <v>0</v>
      </c>
      <c r="AK49" s="174"/>
      <c r="AL49" s="174">
        <f t="shared" si="8"/>
        <v>0</v>
      </c>
      <c r="AM49" s="174"/>
      <c r="AN49" s="174">
        <f t="shared" si="9"/>
        <v>0</v>
      </c>
      <c r="AO49" s="174"/>
      <c r="AP49" s="174">
        <f t="shared" si="10"/>
        <v>0</v>
      </c>
      <c r="AQ49" s="174"/>
      <c r="AR49" s="174">
        <f t="shared" si="11"/>
        <v>0</v>
      </c>
      <c r="AS49" s="174"/>
      <c r="AT49" s="174">
        <f t="shared" si="12"/>
        <v>0</v>
      </c>
      <c r="AU49" s="174"/>
      <c r="AV49" s="174">
        <f t="shared" si="13"/>
        <v>0</v>
      </c>
      <c r="AW49" s="174"/>
      <c r="AX49" s="174">
        <f t="shared" si="14"/>
        <v>0</v>
      </c>
      <c r="AY49" s="174"/>
      <c r="AZ49" s="174">
        <f t="shared" si="15"/>
        <v>0</v>
      </c>
    </row>
    <row r="50" spans="2:53" s="181" customFormat="1" x14ac:dyDescent="0.35">
      <c r="B50" s="180">
        <f t="shared" si="25"/>
        <v>40</v>
      </c>
      <c r="D50" s="182">
        <v>1</v>
      </c>
      <c r="E50" s="183"/>
      <c r="F50" s="135" t="str">
        <f t="shared" si="21"/>
        <v>x</v>
      </c>
      <c r="H50" s="181" t="s">
        <v>45</v>
      </c>
      <c r="J50" s="180">
        <v>1</v>
      </c>
      <c r="K50" s="136">
        <v>23</v>
      </c>
      <c r="L50" s="135">
        <f t="shared" si="22"/>
        <v>1</v>
      </c>
      <c r="M50" s="136"/>
      <c r="N50" s="279">
        <f t="shared" si="16"/>
        <v>-1999</v>
      </c>
      <c r="O50" s="238">
        <f t="shared" si="17"/>
        <v>2023</v>
      </c>
      <c r="P50" s="280">
        <f t="shared" si="18"/>
        <v>24</v>
      </c>
      <c r="Q50" s="136"/>
      <c r="R50" s="176">
        <f t="shared" si="23"/>
        <v>1</v>
      </c>
      <c r="S50" s="184"/>
      <c r="T50" s="185">
        <f t="shared" si="19"/>
        <v>1</v>
      </c>
      <c r="U50" s="185"/>
      <c r="V50" s="186">
        <f t="shared" si="1"/>
        <v>0</v>
      </c>
      <c r="W50" s="183"/>
      <c r="X50" s="185">
        <f t="shared" si="20"/>
        <v>0</v>
      </c>
      <c r="Y50" s="185"/>
      <c r="Z50" s="185">
        <f t="shared" si="2"/>
        <v>0</v>
      </c>
      <c r="AA50" s="185"/>
      <c r="AB50" s="185">
        <f t="shared" si="3"/>
        <v>0</v>
      </c>
      <c r="AC50" s="185"/>
      <c r="AD50" s="185">
        <f t="shared" si="4"/>
        <v>0</v>
      </c>
      <c r="AE50" s="185"/>
      <c r="AF50" s="185">
        <f t="shared" si="5"/>
        <v>0</v>
      </c>
      <c r="AG50" s="185"/>
      <c r="AH50" s="185">
        <f t="shared" si="6"/>
        <v>0</v>
      </c>
      <c r="AI50" s="185"/>
      <c r="AJ50" s="185">
        <f t="shared" si="7"/>
        <v>0</v>
      </c>
      <c r="AK50" s="185"/>
      <c r="AL50" s="185">
        <f t="shared" si="8"/>
        <v>0</v>
      </c>
      <c r="AM50" s="185"/>
      <c r="AN50" s="185">
        <f t="shared" si="9"/>
        <v>0</v>
      </c>
      <c r="AO50" s="185"/>
      <c r="AP50" s="185">
        <f t="shared" si="10"/>
        <v>0</v>
      </c>
      <c r="AQ50" s="185"/>
      <c r="AR50" s="185">
        <f t="shared" si="11"/>
        <v>0</v>
      </c>
      <c r="AS50" s="185"/>
      <c r="AT50" s="185">
        <f t="shared" si="12"/>
        <v>0</v>
      </c>
      <c r="AU50" s="185"/>
      <c r="AV50" s="185">
        <f t="shared" si="13"/>
        <v>0</v>
      </c>
      <c r="AW50" s="185"/>
      <c r="AX50" s="185">
        <f t="shared" si="14"/>
        <v>0</v>
      </c>
      <c r="AY50" s="185"/>
      <c r="AZ50" s="185">
        <f t="shared" si="15"/>
        <v>0</v>
      </c>
    </row>
    <row r="51" spans="2:53" ht="9.4" customHeight="1" x14ac:dyDescent="0.35">
      <c r="D51" s="137"/>
      <c r="P51" s="136"/>
      <c r="R51" s="189"/>
      <c r="S51" s="177"/>
      <c r="T51" s="190"/>
      <c r="U51" s="178"/>
      <c r="V51" s="190"/>
      <c r="W51" s="138"/>
      <c r="X51" s="190"/>
      <c r="Y51" s="178"/>
      <c r="Z51" s="190"/>
      <c r="AA51" s="178"/>
      <c r="AB51" s="190"/>
      <c r="AC51" s="178"/>
      <c r="AD51" s="190"/>
      <c r="AE51" s="178"/>
      <c r="AF51" s="190"/>
      <c r="AG51" s="178"/>
      <c r="AH51" s="190"/>
      <c r="AI51" s="178"/>
      <c r="AJ51" s="190"/>
      <c r="AK51" s="178"/>
      <c r="AL51" s="190"/>
      <c r="AM51" s="178"/>
      <c r="AN51" s="190"/>
      <c r="AO51" s="178"/>
      <c r="AP51" s="190"/>
      <c r="AQ51" s="178"/>
      <c r="AR51" s="190"/>
      <c r="AS51" s="178"/>
      <c r="AT51" s="190"/>
      <c r="AU51" s="178"/>
      <c r="AV51" s="190"/>
      <c r="AW51" s="178"/>
      <c r="AX51" s="190"/>
      <c r="AY51" s="178"/>
      <c r="AZ51" s="190"/>
    </row>
    <row r="52" spans="2:53" ht="24" thickBot="1" x14ac:dyDescent="0.4">
      <c r="D52" s="137"/>
      <c r="H52" s="141" t="s">
        <v>7</v>
      </c>
      <c r="R52" s="178"/>
      <c r="S52" s="178"/>
      <c r="T52" s="191">
        <f>SUM(T11:T50)</f>
        <v>40</v>
      </c>
      <c r="U52" s="178"/>
      <c r="V52" s="191">
        <f>SUM(V11:V50)</f>
        <v>0</v>
      </c>
      <c r="W52" s="138"/>
      <c r="X52" s="191">
        <f>SUM(X11:X50)</f>
        <v>0</v>
      </c>
      <c r="Y52" s="138"/>
      <c r="Z52" s="191">
        <f>SUM(Z11:Z50)</f>
        <v>0</v>
      </c>
      <c r="AA52" s="138"/>
      <c r="AB52" s="191">
        <f>SUM(AB11:AB50)</f>
        <v>0</v>
      </c>
      <c r="AC52" s="138"/>
      <c r="AD52" s="191">
        <f>SUM(AD11:AD50)</f>
        <v>0</v>
      </c>
      <c r="AE52" s="138"/>
      <c r="AF52" s="191">
        <f>SUM(AF11:AF50)</f>
        <v>0</v>
      </c>
      <c r="AG52" s="138"/>
      <c r="AH52" s="191">
        <f>SUM(AH11:AH50)</f>
        <v>0</v>
      </c>
      <c r="AI52" s="138"/>
      <c r="AJ52" s="191">
        <f>SUM(AJ11:AJ50)</f>
        <v>0</v>
      </c>
      <c r="AK52" s="138"/>
      <c r="AL52" s="191">
        <f>SUM(AL11:AL50)</f>
        <v>0</v>
      </c>
      <c r="AM52" s="138"/>
      <c r="AN52" s="191">
        <f>SUM(AN11:AN50)</f>
        <v>0</v>
      </c>
      <c r="AO52" s="138"/>
      <c r="AP52" s="191">
        <f>SUM(AP11:AP50)</f>
        <v>0</v>
      </c>
      <c r="AQ52" s="138"/>
      <c r="AR52" s="191">
        <f>SUM(AR11:AR50)</f>
        <v>0</v>
      </c>
      <c r="AS52" s="138"/>
      <c r="AT52" s="191">
        <f>SUM(AT11:AT50)</f>
        <v>0</v>
      </c>
      <c r="AU52" s="138"/>
      <c r="AV52" s="191">
        <f>SUM(AV11:AV50)</f>
        <v>0</v>
      </c>
      <c r="AW52" s="138"/>
      <c r="AX52" s="191">
        <f>SUM(AX11:AX50)</f>
        <v>0</v>
      </c>
      <c r="AY52" s="138"/>
      <c r="AZ52" s="191">
        <f>SUM(AZ11:AZ50)</f>
        <v>0</v>
      </c>
    </row>
    <row r="53" spans="2:53" ht="24" thickTop="1" x14ac:dyDescent="0.35">
      <c r="D53" s="137"/>
      <c r="H53" s="141"/>
      <c r="R53" s="178"/>
      <c r="S53" s="178"/>
      <c r="T53" s="192"/>
      <c r="U53" s="178"/>
      <c r="V53" s="192"/>
      <c r="W53" s="138"/>
      <c r="X53" s="192"/>
      <c r="Y53" s="138"/>
      <c r="Z53" s="192"/>
      <c r="AA53" s="138"/>
      <c r="AB53" s="192"/>
      <c r="AC53" s="138"/>
      <c r="AD53" s="192"/>
      <c r="AE53" s="138"/>
      <c r="AF53" s="192"/>
      <c r="AG53" s="138"/>
      <c r="AH53" s="192"/>
      <c r="AI53" s="138"/>
      <c r="AJ53" s="192"/>
      <c r="AK53" s="138"/>
      <c r="AL53" s="192"/>
      <c r="AM53" s="138"/>
      <c r="AN53" s="192"/>
      <c r="AO53" s="138"/>
      <c r="AP53" s="192"/>
      <c r="AQ53" s="138"/>
      <c r="AR53" s="192"/>
      <c r="AS53" s="138"/>
      <c r="AT53" s="192"/>
      <c r="AU53" s="138"/>
      <c r="AV53" s="192"/>
      <c r="AW53" s="138"/>
      <c r="AX53" s="192"/>
      <c r="AY53" s="138"/>
      <c r="AZ53" s="192"/>
    </row>
    <row r="54" spans="2:53" s="151" customFormat="1" x14ac:dyDescent="0.35">
      <c r="B54" s="193"/>
      <c r="C54" s="194"/>
      <c r="D54" s="195"/>
      <c r="E54" s="196"/>
      <c r="F54" s="193"/>
      <c r="G54" s="194"/>
      <c r="H54" s="194"/>
      <c r="I54" s="194"/>
      <c r="J54" s="193"/>
      <c r="K54" s="194"/>
      <c r="L54" s="193"/>
      <c r="M54" s="194"/>
      <c r="N54" s="193"/>
      <c r="O54" s="194"/>
      <c r="P54" s="197"/>
      <c r="Q54" s="194"/>
      <c r="R54" s="198"/>
      <c r="S54" s="194"/>
      <c r="T54" s="199"/>
      <c r="U54" s="200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1"/>
      <c r="AV54" s="201"/>
      <c r="AW54" s="201"/>
      <c r="AX54" s="201"/>
      <c r="AY54" s="201"/>
      <c r="AZ54" s="201"/>
      <c r="BA54" s="202"/>
    </row>
    <row r="55" spans="2:53" x14ac:dyDescent="0.35">
      <c r="B55" s="150"/>
      <c r="C55" s="151"/>
      <c r="D55" s="203"/>
      <c r="E55" s="179"/>
      <c r="F55" s="150"/>
      <c r="G55" s="151"/>
      <c r="H55" s="151"/>
      <c r="I55" s="151"/>
      <c r="J55" s="150"/>
      <c r="K55" s="151"/>
      <c r="L55" s="150"/>
      <c r="M55" s="151"/>
      <c r="N55" s="150"/>
      <c r="O55" s="151"/>
      <c r="P55" s="204"/>
      <c r="Q55" s="151"/>
      <c r="R55" s="205"/>
      <c r="S55" s="151"/>
      <c r="T55" s="206"/>
      <c r="U55" s="206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</row>
    <row r="56" spans="2:53" x14ac:dyDescent="0.35">
      <c r="B56" s="283" t="s">
        <v>0</v>
      </c>
      <c r="D56" s="137"/>
      <c r="I56" s="142"/>
      <c r="J56" s="142">
        <v>16</v>
      </c>
      <c r="K56" s="142"/>
      <c r="L56" s="142">
        <v>17</v>
      </c>
      <c r="M56" s="142"/>
      <c r="N56" s="142">
        <v>18</v>
      </c>
      <c r="O56" s="142"/>
      <c r="P56" s="142">
        <v>19</v>
      </c>
      <c r="Q56" s="142"/>
      <c r="R56" s="142">
        <v>20</v>
      </c>
      <c r="S56" s="142"/>
      <c r="T56" s="142">
        <f>+R56+1</f>
        <v>21</v>
      </c>
      <c r="U56" s="142"/>
      <c r="V56" s="142">
        <f>+T56+1</f>
        <v>22</v>
      </c>
      <c r="W56" s="142"/>
      <c r="X56" s="142">
        <f>+V56+1</f>
        <v>23</v>
      </c>
      <c r="Y56" s="142"/>
      <c r="Z56" s="142">
        <f>+X56+1</f>
        <v>24</v>
      </c>
      <c r="AA56" s="142"/>
      <c r="AB56" s="142">
        <f>+Z56+1</f>
        <v>25</v>
      </c>
      <c r="AD56" s="142">
        <f>+AB56+1</f>
        <v>26</v>
      </c>
      <c r="AF56" s="142">
        <f>+AD56+1</f>
        <v>27</v>
      </c>
      <c r="AH56" s="142">
        <f>+AF56+1</f>
        <v>28</v>
      </c>
      <c r="AJ56" s="142">
        <f>+AH56+1</f>
        <v>29</v>
      </c>
      <c r="AL56" s="142">
        <f>+AJ56+1</f>
        <v>30</v>
      </c>
    </row>
    <row r="57" spans="2:53" ht="27.75" customHeight="1" x14ac:dyDescent="0.35">
      <c r="B57" s="284"/>
      <c r="C57" s="155"/>
      <c r="D57" s="156" t="s">
        <v>30</v>
      </c>
      <c r="E57" s="157"/>
      <c r="F57" s="158" t="s">
        <v>1</v>
      </c>
      <c r="H57" s="158" t="s">
        <v>2</v>
      </c>
      <c r="I57" s="155"/>
      <c r="J57" s="158">
        <f>AZ7+1</f>
        <v>2039</v>
      </c>
      <c r="K57" s="158">
        <f>BA7+1</f>
        <v>1</v>
      </c>
      <c r="L57" s="158">
        <f t="shared" ref="L57:R57" si="26">J57+1</f>
        <v>2040</v>
      </c>
      <c r="M57" s="158">
        <f t="shared" si="26"/>
        <v>2</v>
      </c>
      <c r="N57" s="158">
        <f t="shared" si="26"/>
        <v>2041</v>
      </c>
      <c r="O57" s="158">
        <f t="shared" si="26"/>
        <v>3</v>
      </c>
      <c r="P57" s="158">
        <f t="shared" si="26"/>
        <v>2042</v>
      </c>
      <c r="Q57" s="158">
        <f t="shared" si="26"/>
        <v>4</v>
      </c>
      <c r="R57" s="158">
        <f t="shared" si="26"/>
        <v>2043</v>
      </c>
      <c r="S57" s="158"/>
      <c r="T57" s="158">
        <f>+R57+1</f>
        <v>2044</v>
      </c>
      <c r="U57" s="158">
        <f t="shared" ref="U57:AL57" si="27">S57+1</f>
        <v>1</v>
      </c>
      <c r="V57" s="158">
        <f t="shared" si="27"/>
        <v>2045</v>
      </c>
      <c r="W57" s="158">
        <f>U57+1</f>
        <v>2</v>
      </c>
      <c r="X57" s="158">
        <f>V57+1</f>
        <v>2046</v>
      </c>
      <c r="Y57" s="158">
        <f t="shared" si="27"/>
        <v>3</v>
      </c>
      <c r="Z57" s="158">
        <f t="shared" si="27"/>
        <v>2047</v>
      </c>
      <c r="AA57" s="158">
        <f t="shared" si="27"/>
        <v>4</v>
      </c>
      <c r="AB57" s="158">
        <f t="shared" si="27"/>
        <v>2048</v>
      </c>
      <c r="AD57" s="158">
        <f t="shared" si="27"/>
        <v>2049</v>
      </c>
      <c r="AF57" s="158">
        <f t="shared" si="27"/>
        <v>2050</v>
      </c>
      <c r="AH57" s="158">
        <f t="shared" si="27"/>
        <v>2051</v>
      </c>
      <c r="AJ57" s="158">
        <f t="shared" si="27"/>
        <v>2052</v>
      </c>
      <c r="AL57" s="158">
        <f t="shared" si="27"/>
        <v>2053</v>
      </c>
      <c r="AM57" s="155"/>
    </row>
    <row r="58" spans="2:53" ht="9.4" customHeight="1" x14ac:dyDescent="0.35">
      <c r="C58" s="155"/>
      <c r="D58" s="161"/>
      <c r="E58" s="157"/>
      <c r="F58" s="154"/>
      <c r="H58" s="154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M58" s="155"/>
    </row>
    <row r="59" spans="2:53" x14ac:dyDescent="0.35">
      <c r="D59" s="137"/>
      <c r="H59" s="144" t="str">
        <f>+H9</f>
        <v>Roofs</v>
      </c>
      <c r="K59" s="135"/>
      <c r="M59" s="135"/>
      <c r="O59" s="135"/>
      <c r="P59" s="135"/>
      <c r="Q59" s="135"/>
      <c r="R59" s="135"/>
      <c r="S59" s="137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</row>
    <row r="60" spans="2:53" ht="9.4" customHeight="1" x14ac:dyDescent="0.35">
      <c r="D60" s="137"/>
      <c r="H60" s="144"/>
      <c r="J60" s="167"/>
      <c r="K60" s="167"/>
      <c r="L60" s="167"/>
      <c r="M60" s="167"/>
      <c r="N60" s="167"/>
      <c r="O60" s="167"/>
      <c r="P60" s="167"/>
      <c r="Q60" s="167"/>
      <c r="R60" s="16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</row>
    <row r="61" spans="2:53" x14ac:dyDescent="0.35">
      <c r="B61" s="168">
        <f t="shared" ref="B61:B100" si="28">+B11</f>
        <v>1</v>
      </c>
      <c r="C61" s="169"/>
      <c r="D61" s="170">
        <f t="shared" ref="D61:D100" si="29">+D11</f>
        <v>1</v>
      </c>
      <c r="E61" s="171"/>
      <c r="F61" s="168" t="str">
        <f t="shared" ref="F61:F100" si="30">+F11</f>
        <v>x</v>
      </c>
      <c r="G61" s="169"/>
      <c r="H61" s="169" t="str">
        <f t="shared" ref="H61:H100" si="31">+H11</f>
        <v>x</v>
      </c>
      <c r="I61" s="169"/>
      <c r="J61" s="208">
        <f t="shared" ref="J61:J100" si="32">IF(J$56=$N11,FV($V$3,$N11-1,,-$T11,0),0)</f>
        <v>0</v>
      </c>
      <c r="K61" s="209"/>
      <c r="L61" s="208">
        <f t="shared" ref="L61:L100" si="33">IF(L$56=$N11,FV($V$3,$N11-1,,-$T11,0),0)</f>
        <v>0</v>
      </c>
      <c r="M61" s="209"/>
      <c r="N61" s="208">
        <f t="shared" ref="N61:N100" si="34">IF(N$56=$N11,FV($V$3,$N11-1,,-$T11,0),0)</f>
        <v>0</v>
      </c>
      <c r="O61" s="209"/>
      <c r="P61" s="208">
        <f t="shared" ref="P61:P100" si="35">IF(P$56=$N11,FV($V$3,$N11-1,,-$T11,0),0)</f>
        <v>0</v>
      </c>
      <c r="Q61" s="209"/>
      <c r="R61" s="208">
        <f t="shared" ref="R61:R100" si="36">IF(R$56=$N11,FV($V$3,$N11-1,,-$T11,0),0)</f>
        <v>0</v>
      </c>
      <c r="S61" s="209"/>
      <c r="T61" s="208">
        <f t="shared" ref="T61:T100" si="37">IF(T$56=$N11,FV($V$3,$N11-1,,-$T11,0),0)</f>
        <v>0</v>
      </c>
      <c r="U61" s="209"/>
      <c r="V61" s="208">
        <f t="shared" ref="V61:V100" si="38">IF(V$56=$N11,FV($V$3,$N11-1,,-$T11,0),0)</f>
        <v>0</v>
      </c>
      <c r="W61" s="209"/>
      <c r="X61" s="208">
        <f t="shared" ref="X61:X100" si="39">IF(X$56=$N11,FV($V$3,$N11-1,,-$T11,0),0)</f>
        <v>0</v>
      </c>
      <c r="Y61" s="209"/>
      <c r="Z61" s="208">
        <f t="shared" ref="Z61:Z100" si="40">IF(Z$56=$N11,FV($V$3,$N11-1,,-$T11,0),0)</f>
        <v>0</v>
      </c>
      <c r="AA61" s="209"/>
      <c r="AB61" s="208">
        <f t="shared" ref="AB61:AB100" si="41">IF(AB$56=$N11,FV($V$3,$N11-1,,-$T11,0),0)</f>
        <v>0</v>
      </c>
      <c r="AC61" s="209"/>
      <c r="AD61" s="208">
        <f t="shared" ref="AD61:AD100" si="42">IF(AD$56=$N11,FV($V$3,$N11-1,,-$T11,0),0)</f>
        <v>0</v>
      </c>
      <c r="AE61" s="209"/>
      <c r="AF61" s="208">
        <f t="shared" ref="AF61:AF100" si="43">IF(AF$56=$N11,FV($V$3,$N11-1,,-$T11,0),0)</f>
        <v>0</v>
      </c>
      <c r="AG61" s="209"/>
      <c r="AH61" s="208">
        <f t="shared" ref="AH61:AH100" si="44">IF(AH$56=$N11,FV($V$3,$N11-1,,-$T11,0),0)</f>
        <v>0</v>
      </c>
      <c r="AI61" s="209"/>
      <c r="AJ61" s="208">
        <f t="shared" ref="AJ61:AJ100" si="45">IF(AJ$56=$N11,FV($V$3,$N11-1,,-$T11,0),0)</f>
        <v>0</v>
      </c>
      <c r="AK61" s="209"/>
      <c r="AL61" s="208">
        <f t="shared" ref="AL61:AL100" si="46">IF(AL$56=$N11,FV($V$3,$N11-1,,-$T11,0),0)</f>
        <v>0</v>
      </c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</row>
    <row r="62" spans="2:53" x14ac:dyDescent="0.35">
      <c r="B62" s="168">
        <f t="shared" si="28"/>
        <v>2</v>
      </c>
      <c r="C62" s="169"/>
      <c r="D62" s="168">
        <f t="shared" si="29"/>
        <v>1</v>
      </c>
      <c r="E62" s="171"/>
      <c r="F62" s="168" t="str">
        <f t="shared" si="30"/>
        <v>x</v>
      </c>
      <c r="G62" s="169"/>
      <c r="H62" s="169" t="str">
        <f t="shared" si="31"/>
        <v>x</v>
      </c>
      <c r="I62" s="169"/>
      <c r="J62" s="208">
        <f t="shared" si="32"/>
        <v>0</v>
      </c>
      <c r="K62" s="208"/>
      <c r="L62" s="208">
        <f t="shared" si="33"/>
        <v>0</v>
      </c>
      <c r="M62" s="208"/>
      <c r="N62" s="208">
        <f t="shared" si="34"/>
        <v>0</v>
      </c>
      <c r="O62" s="208"/>
      <c r="P62" s="208">
        <f t="shared" si="35"/>
        <v>0</v>
      </c>
      <c r="Q62" s="208"/>
      <c r="R62" s="208">
        <f t="shared" si="36"/>
        <v>0</v>
      </c>
      <c r="S62" s="208"/>
      <c r="T62" s="208">
        <f t="shared" si="37"/>
        <v>0</v>
      </c>
      <c r="U62" s="208"/>
      <c r="V62" s="208">
        <f t="shared" si="38"/>
        <v>0</v>
      </c>
      <c r="W62" s="208"/>
      <c r="X62" s="208">
        <f t="shared" si="39"/>
        <v>0</v>
      </c>
      <c r="Y62" s="208"/>
      <c r="Z62" s="208">
        <f t="shared" si="40"/>
        <v>0</v>
      </c>
      <c r="AA62" s="208"/>
      <c r="AB62" s="208">
        <f t="shared" si="41"/>
        <v>0</v>
      </c>
      <c r="AC62" s="208"/>
      <c r="AD62" s="208">
        <f t="shared" si="42"/>
        <v>0</v>
      </c>
      <c r="AE62" s="208"/>
      <c r="AF62" s="208">
        <f t="shared" si="43"/>
        <v>0</v>
      </c>
      <c r="AG62" s="208"/>
      <c r="AH62" s="208">
        <f t="shared" si="44"/>
        <v>0</v>
      </c>
      <c r="AI62" s="208"/>
      <c r="AJ62" s="208">
        <f t="shared" si="45"/>
        <v>0</v>
      </c>
      <c r="AK62" s="208"/>
      <c r="AL62" s="208">
        <f t="shared" si="46"/>
        <v>0</v>
      </c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</row>
    <row r="63" spans="2:53" x14ac:dyDescent="0.35">
      <c r="B63" s="168">
        <f t="shared" si="28"/>
        <v>3</v>
      </c>
      <c r="C63" s="169"/>
      <c r="D63" s="168">
        <f t="shared" si="29"/>
        <v>1</v>
      </c>
      <c r="E63" s="171"/>
      <c r="F63" s="168" t="str">
        <f t="shared" si="30"/>
        <v>x</v>
      </c>
      <c r="G63" s="169"/>
      <c r="H63" s="169" t="str">
        <f t="shared" si="31"/>
        <v>x</v>
      </c>
      <c r="I63" s="169"/>
      <c r="J63" s="208">
        <f t="shared" si="32"/>
        <v>0</v>
      </c>
      <c r="K63" s="208"/>
      <c r="L63" s="208">
        <f t="shared" si="33"/>
        <v>0</v>
      </c>
      <c r="M63" s="208"/>
      <c r="N63" s="208">
        <f t="shared" si="34"/>
        <v>0</v>
      </c>
      <c r="O63" s="208"/>
      <c r="P63" s="208">
        <f t="shared" si="35"/>
        <v>0</v>
      </c>
      <c r="Q63" s="208"/>
      <c r="R63" s="208">
        <f t="shared" si="36"/>
        <v>0</v>
      </c>
      <c r="S63" s="208"/>
      <c r="T63" s="208">
        <f t="shared" si="37"/>
        <v>0</v>
      </c>
      <c r="U63" s="208"/>
      <c r="V63" s="208">
        <f t="shared" si="38"/>
        <v>0</v>
      </c>
      <c r="W63" s="208"/>
      <c r="X63" s="208">
        <f t="shared" si="39"/>
        <v>0</v>
      </c>
      <c r="Y63" s="208"/>
      <c r="Z63" s="208">
        <f t="shared" si="40"/>
        <v>0</v>
      </c>
      <c r="AA63" s="208"/>
      <c r="AB63" s="208">
        <f t="shared" si="41"/>
        <v>0</v>
      </c>
      <c r="AC63" s="208"/>
      <c r="AD63" s="208">
        <f t="shared" si="42"/>
        <v>0</v>
      </c>
      <c r="AE63" s="208"/>
      <c r="AF63" s="208">
        <f t="shared" si="43"/>
        <v>0</v>
      </c>
      <c r="AG63" s="208"/>
      <c r="AH63" s="208">
        <f t="shared" si="44"/>
        <v>0</v>
      </c>
      <c r="AI63" s="208"/>
      <c r="AJ63" s="208">
        <f t="shared" si="45"/>
        <v>0</v>
      </c>
      <c r="AK63" s="208"/>
      <c r="AL63" s="208">
        <f t="shared" si="46"/>
        <v>0</v>
      </c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</row>
    <row r="64" spans="2:53" x14ac:dyDescent="0.35">
      <c r="B64" s="135">
        <f t="shared" si="28"/>
        <v>4</v>
      </c>
      <c r="D64" s="135">
        <f t="shared" si="29"/>
        <v>1</v>
      </c>
      <c r="F64" s="135" t="str">
        <f t="shared" si="30"/>
        <v>x</v>
      </c>
      <c r="H64" s="136" t="str">
        <f t="shared" si="31"/>
        <v>x</v>
      </c>
      <c r="J64" s="210">
        <f t="shared" si="32"/>
        <v>0</v>
      </c>
      <c r="K64" s="210"/>
      <c r="L64" s="210">
        <f t="shared" si="33"/>
        <v>0</v>
      </c>
      <c r="M64" s="210"/>
      <c r="N64" s="210">
        <f t="shared" si="34"/>
        <v>0</v>
      </c>
      <c r="O64" s="210"/>
      <c r="P64" s="210">
        <f t="shared" si="35"/>
        <v>0</v>
      </c>
      <c r="Q64" s="210"/>
      <c r="R64" s="210">
        <f t="shared" si="36"/>
        <v>0</v>
      </c>
      <c r="S64" s="210"/>
      <c r="T64" s="210">
        <f t="shared" si="37"/>
        <v>0</v>
      </c>
      <c r="U64" s="210"/>
      <c r="V64" s="210">
        <f t="shared" si="38"/>
        <v>0</v>
      </c>
      <c r="W64" s="210"/>
      <c r="X64" s="210">
        <f t="shared" si="39"/>
        <v>0</v>
      </c>
      <c r="Y64" s="210"/>
      <c r="Z64" s="210">
        <f t="shared" si="40"/>
        <v>0</v>
      </c>
      <c r="AA64" s="210"/>
      <c r="AB64" s="210">
        <f t="shared" si="41"/>
        <v>0</v>
      </c>
      <c r="AC64" s="210"/>
      <c r="AD64" s="210">
        <f t="shared" si="42"/>
        <v>0</v>
      </c>
      <c r="AE64" s="210"/>
      <c r="AF64" s="210">
        <f t="shared" si="43"/>
        <v>0</v>
      </c>
      <c r="AG64" s="210"/>
      <c r="AH64" s="210">
        <f t="shared" si="44"/>
        <v>0</v>
      </c>
      <c r="AI64" s="210"/>
      <c r="AJ64" s="210">
        <f t="shared" si="45"/>
        <v>0</v>
      </c>
      <c r="AK64" s="210"/>
      <c r="AL64" s="210">
        <f t="shared" si="46"/>
        <v>0</v>
      </c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</row>
    <row r="65" spans="2:53" x14ac:dyDescent="0.35">
      <c r="B65" s="135">
        <f t="shared" si="28"/>
        <v>5</v>
      </c>
      <c r="D65" s="135">
        <f t="shared" si="29"/>
        <v>1</v>
      </c>
      <c r="F65" s="135" t="str">
        <f t="shared" si="30"/>
        <v>x</v>
      </c>
      <c r="H65" s="136" t="str">
        <f t="shared" si="31"/>
        <v>x</v>
      </c>
      <c r="J65" s="210">
        <f t="shared" si="32"/>
        <v>0</v>
      </c>
      <c r="K65" s="210"/>
      <c r="L65" s="210">
        <f t="shared" si="33"/>
        <v>0</v>
      </c>
      <c r="M65" s="210"/>
      <c r="N65" s="210">
        <f t="shared" si="34"/>
        <v>0</v>
      </c>
      <c r="O65" s="210"/>
      <c r="P65" s="210">
        <f t="shared" si="35"/>
        <v>0</v>
      </c>
      <c r="Q65" s="210"/>
      <c r="R65" s="210">
        <f t="shared" si="36"/>
        <v>0</v>
      </c>
      <c r="S65" s="210"/>
      <c r="T65" s="210">
        <f t="shared" si="37"/>
        <v>0</v>
      </c>
      <c r="U65" s="210"/>
      <c r="V65" s="210">
        <f t="shared" si="38"/>
        <v>0</v>
      </c>
      <c r="W65" s="210"/>
      <c r="X65" s="210">
        <f t="shared" si="39"/>
        <v>0</v>
      </c>
      <c r="Y65" s="210"/>
      <c r="Z65" s="210">
        <f t="shared" si="40"/>
        <v>0</v>
      </c>
      <c r="AA65" s="210"/>
      <c r="AB65" s="210">
        <f t="shared" si="41"/>
        <v>0</v>
      </c>
      <c r="AC65" s="210"/>
      <c r="AD65" s="210">
        <f t="shared" si="42"/>
        <v>0</v>
      </c>
      <c r="AE65" s="210"/>
      <c r="AF65" s="210">
        <f t="shared" si="43"/>
        <v>0</v>
      </c>
      <c r="AG65" s="210"/>
      <c r="AH65" s="210">
        <f t="shared" si="44"/>
        <v>0</v>
      </c>
      <c r="AI65" s="210"/>
      <c r="AJ65" s="210">
        <f t="shared" si="45"/>
        <v>0</v>
      </c>
      <c r="AK65" s="210"/>
      <c r="AL65" s="210">
        <f t="shared" si="46"/>
        <v>0</v>
      </c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</row>
    <row r="66" spans="2:53" x14ac:dyDescent="0.35">
      <c r="B66" s="135">
        <f t="shared" si="28"/>
        <v>6</v>
      </c>
      <c r="D66" s="135">
        <f t="shared" si="29"/>
        <v>1</v>
      </c>
      <c r="F66" s="135" t="str">
        <f t="shared" si="30"/>
        <v>x</v>
      </c>
      <c r="H66" s="211" t="str">
        <f t="shared" si="31"/>
        <v>x</v>
      </c>
      <c r="J66" s="210">
        <f t="shared" si="32"/>
        <v>0</v>
      </c>
      <c r="K66" s="210"/>
      <c r="L66" s="210">
        <f t="shared" si="33"/>
        <v>0</v>
      </c>
      <c r="M66" s="210"/>
      <c r="N66" s="210">
        <f t="shared" si="34"/>
        <v>0</v>
      </c>
      <c r="O66" s="210"/>
      <c r="P66" s="210">
        <f t="shared" si="35"/>
        <v>0</v>
      </c>
      <c r="Q66" s="210"/>
      <c r="R66" s="210">
        <f t="shared" si="36"/>
        <v>0</v>
      </c>
      <c r="S66" s="210"/>
      <c r="T66" s="210">
        <f t="shared" si="37"/>
        <v>0</v>
      </c>
      <c r="U66" s="210"/>
      <c r="V66" s="210">
        <f t="shared" si="38"/>
        <v>0</v>
      </c>
      <c r="W66" s="210"/>
      <c r="X66" s="210">
        <f t="shared" si="39"/>
        <v>0</v>
      </c>
      <c r="Y66" s="210"/>
      <c r="Z66" s="210">
        <f t="shared" si="40"/>
        <v>0</v>
      </c>
      <c r="AA66" s="210"/>
      <c r="AB66" s="210">
        <f t="shared" si="41"/>
        <v>0</v>
      </c>
      <c r="AC66" s="210"/>
      <c r="AD66" s="210">
        <f t="shared" si="42"/>
        <v>0</v>
      </c>
      <c r="AE66" s="210"/>
      <c r="AF66" s="210">
        <f t="shared" si="43"/>
        <v>0</v>
      </c>
      <c r="AG66" s="210"/>
      <c r="AH66" s="210">
        <f t="shared" si="44"/>
        <v>0</v>
      </c>
      <c r="AI66" s="210"/>
      <c r="AJ66" s="210">
        <f t="shared" si="45"/>
        <v>0</v>
      </c>
      <c r="AK66" s="210"/>
      <c r="AL66" s="210">
        <f t="shared" si="46"/>
        <v>0</v>
      </c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</row>
    <row r="67" spans="2:53" x14ac:dyDescent="0.35">
      <c r="B67" s="168">
        <f t="shared" si="28"/>
        <v>7</v>
      </c>
      <c r="C67" s="169"/>
      <c r="D67" s="168">
        <f t="shared" si="29"/>
        <v>1</v>
      </c>
      <c r="E67" s="171"/>
      <c r="F67" s="168" t="str">
        <f t="shared" si="30"/>
        <v>x</v>
      </c>
      <c r="G67" s="169"/>
      <c r="H67" s="212" t="str">
        <f t="shared" si="31"/>
        <v>x</v>
      </c>
      <c r="I67" s="169"/>
      <c r="J67" s="208">
        <f t="shared" si="32"/>
        <v>0</v>
      </c>
      <c r="K67" s="208"/>
      <c r="L67" s="208">
        <f t="shared" si="33"/>
        <v>0</v>
      </c>
      <c r="M67" s="208"/>
      <c r="N67" s="208">
        <f t="shared" si="34"/>
        <v>0</v>
      </c>
      <c r="O67" s="208"/>
      <c r="P67" s="208">
        <f t="shared" si="35"/>
        <v>0</v>
      </c>
      <c r="Q67" s="208"/>
      <c r="R67" s="208">
        <f t="shared" si="36"/>
        <v>0</v>
      </c>
      <c r="S67" s="208"/>
      <c r="T67" s="208">
        <f t="shared" si="37"/>
        <v>0</v>
      </c>
      <c r="U67" s="208"/>
      <c r="V67" s="208">
        <f t="shared" si="38"/>
        <v>0</v>
      </c>
      <c r="W67" s="208"/>
      <c r="X67" s="208">
        <f t="shared" si="39"/>
        <v>0</v>
      </c>
      <c r="Y67" s="208"/>
      <c r="Z67" s="208">
        <f t="shared" si="40"/>
        <v>0</v>
      </c>
      <c r="AA67" s="208"/>
      <c r="AB67" s="208">
        <f t="shared" si="41"/>
        <v>0</v>
      </c>
      <c r="AC67" s="208"/>
      <c r="AD67" s="208">
        <f t="shared" si="42"/>
        <v>0</v>
      </c>
      <c r="AE67" s="208"/>
      <c r="AF67" s="208">
        <f t="shared" si="43"/>
        <v>0</v>
      </c>
      <c r="AG67" s="208"/>
      <c r="AH67" s="208">
        <f t="shared" si="44"/>
        <v>0</v>
      </c>
      <c r="AI67" s="208"/>
      <c r="AJ67" s="208">
        <f t="shared" si="45"/>
        <v>0</v>
      </c>
      <c r="AK67" s="208"/>
      <c r="AL67" s="208">
        <f t="shared" si="46"/>
        <v>0</v>
      </c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</row>
    <row r="68" spans="2:53" x14ac:dyDescent="0.35">
      <c r="B68" s="168">
        <f t="shared" si="28"/>
        <v>8</v>
      </c>
      <c r="C68" s="169"/>
      <c r="D68" s="168">
        <f t="shared" si="29"/>
        <v>1</v>
      </c>
      <c r="E68" s="171"/>
      <c r="F68" s="168" t="str">
        <f t="shared" si="30"/>
        <v>x</v>
      </c>
      <c r="G68" s="169"/>
      <c r="H68" s="169" t="str">
        <f t="shared" si="31"/>
        <v>x</v>
      </c>
      <c r="I68" s="169"/>
      <c r="J68" s="208">
        <f t="shared" si="32"/>
        <v>0</v>
      </c>
      <c r="K68" s="208"/>
      <c r="L68" s="208">
        <f t="shared" si="33"/>
        <v>0</v>
      </c>
      <c r="M68" s="208"/>
      <c r="N68" s="208">
        <f t="shared" si="34"/>
        <v>0</v>
      </c>
      <c r="O68" s="208"/>
      <c r="P68" s="208">
        <f t="shared" si="35"/>
        <v>0</v>
      </c>
      <c r="Q68" s="208"/>
      <c r="R68" s="208">
        <f t="shared" si="36"/>
        <v>0</v>
      </c>
      <c r="S68" s="208"/>
      <c r="T68" s="208">
        <f t="shared" si="37"/>
        <v>0</v>
      </c>
      <c r="U68" s="208"/>
      <c r="V68" s="208">
        <f t="shared" si="38"/>
        <v>0</v>
      </c>
      <c r="W68" s="208"/>
      <c r="X68" s="208">
        <f t="shared" si="39"/>
        <v>0</v>
      </c>
      <c r="Y68" s="208"/>
      <c r="Z68" s="208">
        <f t="shared" si="40"/>
        <v>0</v>
      </c>
      <c r="AA68" s="208"/>
      <c r="AB68" s="208">
        <f t="shared" si="41"/>
        <v>0</v>
      </c>
      <c r="AC68" s="208"/>
      <c r="AD68" s="208">
        <f t="shared" si="42"/>
        <v>0</v>
      </c>
      <c r="AE68" s="208"/>
      <c r="AF68" s="208">
        <f t="shared" si="43"/>
        <v>0</v>
      </c>
      <c r="AG68" s="208"/>
      <c r="AH68" s="208">
        <f t="shared" si="44"/>
        <v>0</v>
      </c>
      <c r="AI68" s="208"/>
      <c r="AJ68" s="208">
        <f t="shared" si="45"/>
        <v>0</v>
      </c>
      <c r="AK68" s="208"/>
      <c r="AL68" s="208">
        <f t="shared" si="46"/>
        <v>0</v>
      </c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</row>
    <row r="69" spans="2:53" x14ac:dyDescent="0.35">
      <c r="B69" s="168">
        <f t="shared" si="28"/>
        <v>9</v>
      </c>
      <c r="C69" s="169"/>
      <c r="D69" s="168">
        <f t="shared" si="29"/>
        <v>1</v>
      </c>
      <c r="E69" s="171"/>
      <c r="F69" s="168" t="str">
        <f t="shared" si="30"/>
        <v>x</v>
      </c>
      <c r="G69" s="169"/>
      <c r="H69" s="169" t="str">
        <f t="shared" si="31"/>
        <v>x</v>
      </c>
      <c r="I69" s="169"/>
      <c r="J69" s="208">
        <f t="shared" si="32"/>
        <v>0</v>
      </c>
      <c r="K69" s="208"/>
      <c r="L69" s="208">
        <f t="shared" si="33"/>
        <v>0</v>
      </c>
      <c r="M69" s="208"/>
      <c r="N69" s="208">
        <f t="shared" si="34"/>
        <v>0</v>
      </c>
      <c r="O69" s="208"/>
      <c r="P69" s="208">
        <f t="shared" si="35"/>
        <v>0</v>
      </c>
      <c r="Q69" s="208"/>
      <c r="R69" s="208">
        <f t="shared" si="36"/>
        <v>0</v>
      </c>
      <c r="S69" s="208"/>
      <c r="T69" s="208">
        <f t="shared" si="37"/>
        <v>0</v>
      </c>
      <c r="U69" s="208"/>
      <c r="V69" s="208">
        <f t="shared" si="38"/>
        <v>0</v>
      </c>
      <c r="W69" s="208"/>
      <c r="X69" s="208">
        <f t="shared" si="39"/>
        <v>0</v>
      </c>
      <c r="Y69" s="208"/>
      <c r="Z69" s="208">
        <f t="shared" si="40"/>
        <v>0</v>
      </c>
      <c r="AA69" s="208"/>
      <c r="AB69" s="208">
        <f t="shared" si="41"/>
        <v>0</v>
      </c>
      <c r="AC69" s="208"/>
      <c r="AD69" s="208">
        <f t="shared" si="42"/>
        <v>0</v>
      </c>
      <c r="AE69" s="208"/>
      <c r="AF69" s="208">
        <f t="shared" si="43"/>
        <v>0</v>
      </c>
      <c r="AG69" s="208"/>
      <c r="AH69" s="208">
        <f t="shared" si="44"/>
        <v>0</v>
      </c>
      <c r="AI69" s="208"/>
      <c r="AJ69" s="208">
        <f t="shared" si="45"/>
        <v>0</v>
      </c>
      <c r="AK69" s="208"/>
      <c r="AL69" s="208">
        <f t="shared" si="46"/>
        <v>0</v>
      </c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</row>
    <row r="70" spans="2:53" s="181" customFormat="1" x14ac:dyDescent="0.35">
      <c r="B70" s="180">
        <f t="shared" si="28"/>
        <v>10</v>
      </c>
      <c r="D70" s="180">
        <f t="shared" si="29"/>
        <v>1</v>
      </c>
      <c r="E70" s="183"/>
      <c r="F70" s="135" t="str">
        <f t="shared" si="30"/>
        <v>x</v>
      </c>
      <c r="H70" s="181" t="str">
        <f t="shared" si="31"/>
        <v>x</v>
      </c>
      <c r="J70" s="213">
        <f t="shared" si="32"/>
        <v>0</v>
      </c>
      <c r="K70" s="213"/>
      <c r="L70" s="213">
        <f t="shared" si="33"/>
        <v>0</v>
      </c>
      <c r="M70" s="213"/>
      <c r="N70" s="213">
        <f t="shared" si="34"/>
        <v>0</v>
      </c>
      <c r="O70" s="213"/>
      <c r="P70" s="213">
        <f t="shared" si="35"/>
        <v>0</v>
      </c>
      <c r="Q70" s="213"/>
      <c r="R70" s="213">
        <f t="shared" si="36"/>
        <v>0</v>
      </c>
      <c r="S70" s="213"/>
      <c r="T70" s="213">
        <f t="shared" si="37"/>
        <v>0</v>
      </c>
      <c r="U70" s="213"/>
      <c r="V70" s="213">
        <f t="shared" si="38"/>
        <v>0</v>
      </c>
      <c r="W70" s="213"/>
      <c r="X70" s="213">
        <f t="shared" si="39"/>
        <v>0</v>
      </c>
      <c r="Y70" s="213"/>
      <c r="Z70" s="213">
        <f t="shared" si="40"/>
        <v>0</v>
      </c>
      <c r="AA70" s="213"/>
      <c r="AB70" s="213">
        <f t="shared" si="41"/>
        <v>0</v>
      </c>
      <c r="AC70" s="213"/>
      <c r="AD70" s="213">
        <f t="shared" si="42"/>
        <v>0</v>
      </c>
      <c r="AE70" s="213"/>
      <c r="AF70" s="213">
        <f t="shared" si="43"/>
        <v>0</v>
      </c>
      <c r="AG70" s="213"/>
      <c r="AH70" s="213">
        <f t="shared" si="44"/>
        <v>0</v>
      </c>
      <c r="AI70" s="213"/>
      <c r="AJ70" s="213">
        <f t="shared" si="45"/>
        <v>0</v>
      </c>
      <c r="AK70" s="213"/>
      <c r="AL70" s="213">
        <f t="shared" si="46"/>
        <v>0</v>
      </c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</row>
    <row r="71" spans="2:53" s="181" customFormat="1" x14ac:dyDescent="0.35">
      <c r="B71" s="180">
        <f t="shared" si="28"/>
        <v>11</v>
      </c>
      <c r="D71" s="180">
        <f t="shared" si="29"/>
        <v>1</v>
      </c>
      <c r="E71" s="183"/>
      <c r="F71" s="135" t="str">
        <f t="shared" si="30"/>
        <v>x</v>
      </c>
      <c r="H71" s="181" t="str">
        <f t="shared" si="31"/>
        <v>x</v>
      </c>
      <c r="J71" s="213">
        <f t="shared" si="32"/>
        <v>0</v>
      </c>
      <c r="K71" s="213"/>
      <c r="L71" s="213">
        <f t="shared" si="33"/>
        <v>0</v>
      </c>
      <c r="M71" s="213"/>
      <c r="N71" s="213">
        <f t="shared" si="34"/>
        <v>0</v>
      </c>
      <c r="O71" s="213"/>
      <c r="P71" s="213">
        <f t="shared" si="35"/>
        <v>0</v>
      </c>
      <c r="Q71" s="213"/>
      <c r="R71" s="213">
        <f t="shared" si="36"/>
        <v>0</v>
      </c>
      <c r="S71" s="213"/>
      <c r="T71" s="213">
        <f t="shared" si="37"/>
        <v>0</v>
      </c>
      <c r="U71" s="213"/>
      <c r="V71" s="213">
        <f t="shared" si="38"/>
        <v>0</v>
      </c>
      <c r="W71" s="213"/>
      <c r="X71" s="213">
        <f t="shared" si="39"/>
        <v>0</v>
      </c>
      <c r="Y71" s="213"/>
      <c r="Z71" s="213">
        <f t="shared" si="40"/>
        <v>0</v>
      </c>
      <c r="AA71" s="213"/>
      <c r="AB71" s="213">
        <f t="shared" si="41"/>
        <v>0</v>
      </c>
      <c r="AC71" s="213"/>
      <c r="AD71" s="213">
        <f t="shared" si="42"/>
        <v>0</v>
      </c>
      <c r="AE71" s="213"/>
      <c r="AF71" s="213">
        <f t="shared" si="43"/>
        <v>0</v>
      </c>
      <c r="AG71" s="213"/>
      <c r="AH71" s="213">
        <f t="shared" si="44"/>
        <v>0</v>
      </c>
      <c r="AI71" s="213"/>
      <c r="AJ71" s="213">
        <f t="shared" si="45"/>
        <v>0</v>
      </c>
      <c r="AK71" s="213"/>
      <c r="AL71" s="213">
        <f t="shared" si="46"/>
        <v>0</v>
      </c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</row>
    <row r="72" spans="2:53" s="181" customFormat="1" x14ac:dyDescent="0.35">
      <c r="B72" s="180">
        <f t="shared" si="28"/>
        <v>12</v>
      </c>
      <c r="D72" s="180">
        <f t="shared" si="29"/>
        <v>1</v>
      </c>
      <c r="E72" s="183"/>
      <c r="F72" s="135" t="str">
        <f t="shared" si="30"/>
        <v>x</v>
      </c>
      <c r="H72" s="181" t="str">
        <f t="shared" si="31"/>
        <v>x</v>
      </c>
      <c r="J72" s="213">
        <f t="shared" si="32"/>
        <v>0</v>
      </c>
      <c r="K72" s="213"/>
      <c r="L72" s="213">
        <f t="shared" si="33"/>
        <v>0</v>
      </c>
      <c r="M72" s="213"/>
      <c r="N72" s="213">
        <f t="shared" si="34"/>
        <v>0</v>
      </c>
      <c r="O72" s="213"/>
      <c r="P72" s="213">
        <f t="shared" si="35"/>
        <v>0</v>
      </c>
      <c r="Q72" s="213"/>
      <c r="R72" s="213">
        <f t="shared" si="36"/>
        <v>0</v>
      </c>
      <c r="S72" s="213"/>
      <c r="T72" s="213">
        <f t="shared" si="37"/>
        <v>0</v>
      </c>
      <c r="U72" s="213"/>
      <c r="V72" s="213">
        <f t="shared" si="38"/>
        <v>0</v>
      </c>
      <c r="W72" s="213"/>
      <c r="X72" s="213">
        <f t="shared" si="39"/>
        <v>0</v>
      </c>
      <c r="Y72" s="213"/>
      <c r="Z72" s="213">
        <f t="shared" si="40"/>
        <v>0</v>
      </c>
      <c r="AA72" s="213"/>
      <c r="AB72" s="213">
        <f t="shared" si="41"/>
        <v>0</v>
      </c>
      <c r="AC72" s="213"/>
      <c r="AD72" s="213">
        <f t="shared" si="42"/>
        <v>0</v>
      </c>
      <c r="AE72" s="213"/>
      <c r="AF72" s="213">
        <f t="shared" si="43"/>
        <v>0</v>
      </c>
      <c r="AG72" s="213"/>
      <c r="AH72" s="213">
        <f t="shared" si="44"/>
        <v>0</v>
      </c>
      <c r="AI72" s="213"/>
      <c r="AJ72" s="213">
        <f t="shared" si="45"/>
        <v>0</v>
      </c>
      <c r="AK72" s="213"/>
      <c r="AL72" s="213">
        <f t="shared" si="46"/>
        <v>0</v>
      </c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</row>
    <row r="73" spans="2:53" x14ac:dyDescent="0.35">
      <c r="B73" s="168">
        <f t="shared" si="28"/>
        <v>13</v>
      </c>
      <c r="C73" s="169"/>
      <c r="D73" s="168">
        <f t="shared" si="29"/>
        <v>1</v>
      </c>
      <c r="E73" s="171"/>
      <c r="F73" s="168" t="str">
        <f t="shared" si="30"/>
        <v>x</v>
      </c>
      <c r="G73" s="169"/>
      <c r="H73" s="169" t="str">
        <f t="shared" si="31"/>
        <v>x</v>
      </c>
      <c r="I73" s="169"/>
      <c r="J73" s="208">
        <f t="shared" si="32"/>
        <v>0</v>
      </c>
      <c r="K73" s="208"/>
      <c r="L73" s="208">
        <f t="shared" si="33"/>
        <v>0</v>
      </c>
      <c r="M73" s="208"/>
      <c r="N73" s="208">
        <f t="shared" si="34"/>
        <v>0</v>
      </c>
      <c r="O73" s="208"/>
      <c r="P73" s="208">
        <f t="shared" si="35"/>
        <v>0</v>
      </c>
      <c r="Q73" s="208"/>
      <c r="R73" s="208">
        <f t="shared" si="36"/>
        <v>0</v>
      </c>
      <c r="S73" s="208"/>
      <c r="T73" s="208">
        <f t="shared" si="37"/>
        <v>0</v>
      </c>
      <c r="U73" s="208"/>
      <c r="V73" s="208">
        <f t="shared" si="38"/>
        <v>0</v>
      </c>
      <c r="W73" s="208"/>
      <c r="X73" s="208">
        <f t="shared" si="39"/>
        <v>0</v>
      </c>
      <c r="Y73" s="208"/>
      <c r="Z73" s="208">
        <f t="shared" si="40"/>
        <v>0</v>
      </c>
      <c r="AA73" s="208"/>
      <c r="AB73" s="208">
        <f t="shared" si="41"/>
        <v>0</v>
      </c>
      <c r="AC73" s="208"/>
      <c r="AD73" s="208">
        <f t="shared" si="42"/>
        <v>0</v>
      </c>
      <c r="AE73" s="208"/>
      <c r="AF73" s="208">
        <f t="shared" si="43"/>
        <v>0</v>
      </c>
      <c r="AG73" s="208"/>
      <c r="AH73" s="208">
        <f t="shared" si="44"/>
        <v>0</v>
      </c>
      <c r="AI73" s="208"/>
      <c r="AJ73" s="208">
        <f t="shared" si="45"/>
        <v>0</v>
      </c>
      <c r="AK73" s="208"/>
      <c r="AL73" s="208">
        <f t="shared" si="46"/>
        <v>0</v>
      </c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</row>
    <row r="74" spans="2:53" x14ac:dyDescent="0.35">
      <c r="B74" s="168">
        <f t="shared" si="28"/>
        <v>14</v>
      </c>
      <c r="C74" s="169"/>
      <c r="D74" s="168">
        <f t="shared" si="29"/>
        <v>1</v>
      </c>
      <c r="E74" s="171"/>
      <c r="F74" s="168" t="str">
        <f t="shared" si="30"/>
        <v>x</v>
      </c>
      <c r="G74" s="169"/>
      <c r="H74" s="169" t="str">
        <f t="shared" si="31"/>
        <v>x</v>
      </c>
      <c r="I74" s="169"/>
      <c r="J74" s="208">
        <f t="shared" si="32"/>
        <v>0</v>
      </c>
      <c r="K74" s="208"/>
      <c r="L74" s="208">
        <f t="shared" si="33"/>
        <v>0</v>
      </c>
      <c r="M74" s="208"/>
      <c r="N74" s="208">
        <f t="shared" si="34"/>
        <v>0</v>
      </c>
      <c r="O74" s="208"/>
      <c r="P74" s="208">
        <f t="shared" si="35"/>
        <v>0</v>
      </c>
      <c r="Q74" s="208"/>
      <c r="R74" s="208">
        <f t="shared" si="36"/>
        <v>0</v>
      </c>
      <c r="S74" s="208"/>
      <c r="T74" s="208">
        <f t="shared" si="37"/>
        <v>0</v>
      </c>
      <c r="U74" s="208"/>
      <c r="V74" s="208">
        <f t="shared" si="38"/>
        <v>0</v>
      </c>
      <c r="W74" s="208"/>
      <c r="X74" s="208">
        <f t="shared" si="39"/>
        <v>0</v>
      </c>
      <c r="Y74" s="208"/>
      <c r="Z74" s="208">
        <f t="shared" si="40"/>
        <v>0</v>
      </c>
      <c r="AA74" s="208"/>
      <c r="AB74" s="208">
        <f t="shared" si="41"/>
        <v>0</v>
      </c>
      <c r="AC74" s="208"/>
      <c r="AD74" s="208">
        <f t="shared" si="42"/>
        <v>0</v>
      </c>
      <c r="AE74" s="208"/>
      <c r="AF74" s="208">
        <f t="shared" si="43"/>
        <v>0</v>
      </c>
      <c r="AG74" s="208"/>
      <c r="AH74" s="208">
        <f t="shared" si="44"/>
        <v>0</v>
      </c>
      <c r="AI74" s="208"/>
      <c r="AJ74" s="208">
        <f t="shared" si="45"/>
        <v>0</v>
      </c>
      <c r="AK74" s="208"/>
      <c r="AL74" s="208">
        <f t="shared" si="46"/>
        <v>0</v>
      </c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</row>
    <row r="75" spans="2:53" x14ac:dyDescent="0.35">
      <c r="B75" s="168">
        <f t="shared" si="28"/>
        <v>15</v>
      </c>
      <c r="C75" s="169"/>
      <c r="D75" s="168">
        <f t="shared" si="29"/>
        <v>1</v>
      </c>
      <c r="E75" s="171"/>
      <c r="F75" s="168" t="str">
        <f t="shared" si="30"/>
        <v>x</v>
      </c>
      <c r="G75" s="169"/>
      <c r="H75" s="169" t="str">
        <f t="shared" si="31"/>
        <v>x</v>
      </c>
      <c r="I75" s="169"/>
      <c r="J75" s="208">
        <f t="shared" si="32"/>
        <v>0</v>
      </c>
      <c r="K75" s="208"/>
      <c r="L75" s="208">
        <f t="shared" si="33"/>
        <v>0</v>
      </c>
      <c r="M75" s="208"/>
      <c r="N75" s="208">
        <f t="shared" si="34"/>
        <v>0</v>
      </c>
      <c r="O75" s="208"/>
      <c r="P75" s="208">
        <f t="shared" si="35"/>
        <v>0</v>
      </c>
      <c r="Q75" s="208"/>
      <c r="R75" s="208">
        <f t="shared" si="36"/>
        <v>0</v>
      </c>
      <c r="S75" s="208"/>
      <c r="T75" s="208">
        <f t="shared" si="37"/>
        <v>0</v>
      </c>
      <c r="U75" s="208"/>
      <c r="V75" s="208">
        <f t="shared" si="38"/>
        <v>0</v>
      </c>
      <c r="W75" s="208"/>
      <c r="X75" s="208">
        <f t="shared" si="39"/>
        <v>0</v>
      </c>
      <c r="Y75" s="208"/>
      <c r="Z75" s="208">
        <f t="shared" si="40"/>
        <v>0</v>
      </c>
      <c r="AA75" s="208"/>
      <c r="AB75" s="208">
        <f t="shared" si="41"/>
        <v>0</v>
      </c>
      <c r="AC75" s="208"/>
      <c r="AD75" s="208">
        <f t="shared" si="42"/>
        <v>0</v>
      </c>
      <c r="AE75" s="208"/>
      <c r="AF75" s="208">
        <f t="shared" si="43"/>
        <v>0</v>
      </c>
      <c r="AG75" s="208"/>
      <c r="AH75" s="208">
        <f t="shared" si="44"/>
        <v>0</v>
      </c>
      <c r="AI75" s="208"/>
      <c r="AJ75" s="208">
        <f t="shared" si="45"/>
        <v>0</v>
      </c>
      <c r="AK75" s="208"/>
      <c r="AL75" s="208">
        <f t="shared" si="46"/>
        <v>0</v>
      </c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</row>
    <row r="76" spans="2:53" x14ac:dyDescent="0.35">
      <c r="B76" s="135">
        <f t="shared" si="28"/>
        <v>16</v>
      </c>
      <c r="D76" s="135">
        <f t="shared" si="29"/>
        <v>1</v>
      </c>
      <c r="F76" s="135" t="str">
        <f t="shared" si="30"/>
        <v>x</v>
      </c>
      <c r="H76" s="136" t="str">
        <f t="shared" si="31"/>
        <v>x</v>
      </c>
      <c r="J76" s="210">
        <f t="shared" si="32"/>
        <v>0</v>
      </c>
      <c r="K76" s="210"/>
      <c r="L76" s="210">
        <f t="shared" si="33"/>
        <v>0</v>
      </c>
      <c r="M76" s="210"/>
      <c r="N76" s="210">
        <f t="shared" si="34"/>
        <v>0</v>
      </c>
      <c r="O76" s="210"/>
      <c r="P76" s="210">
        <f t="shared" si="35"/>
        <v>0</v>
      </c>
      <c r="Q76" s="210"/>
      <c r="R76" s="210">
        <f t="shared" si="36"/>
        <v>0</v>
      </c>
      <c r="S76" s="210"/>
      <c r="T76" s="210">
        <f t="shared" si="37"/>
        <v>0</v>
      </c>
      <c r="U76" s="210"/>
      <c r="V76" s="210">
        <f t="shared" si="38"/>
        <v>0</v>
      </c>
      <c r="W76" s="210"/>
      <c r="X76" s="210">
        <f t="shared" si="39"/>
        <v>0</v>
      </c>
      <c r="Y76" s="210"/>
      <c r="Z76" s="210">
        <f t="shared" si="40"/>
        <v>0</v>
      </c>
      <c r="AA76" s="210"/>
      <c r="AB76" s="210">
        <f t="shared" si="41"/>
        <v>0</v>
      </c>
      <c r="AC76" s="210"/>
      <c r="AD76" s="210">
        <f t="shared" si="42"/>
        <v>0</v>
      </c>
      <c r="AE76" s="210"/>
      <c r="AF76" s="210">
        <f t="shared" si="43"/>
        <v>0</v>
      </c>
      <c r="AG76" s="210"/>
      <c r="AH76" s="210">
        <f t="shared" si="44"/>
        <v>0</v>
      </c>
      <c r="AI76" s="210"/>
      <c r="AJ76" s="210">
        <f t="shared" si="45"/>
        <v>0</v>
      </c>
      <c r="AK76" s="210"/>
      <c r="AL76" s="210">
        <f t="shared" si="46"/>
        <v>0</v>
      </c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</row>
    <row r="77" spans="2:53" x14ac:dyDescent="0.35">
      <c r="B77" s="135">
        <f t="shared" si="28"/>
        <v>17</v>
      </c>
      <c r="D77" s="135">
        <f t="shared" si="29"/>
        <v>1</v>
      </c>
      <c r="F77" s="135" t="str">
        <f t="shared" si="30"/>
        <v>x</v>
      </c>
      <c r="H77" s="136" t="str">
        <f t="shared" si="31"/>
        <v>x</v>
      </c>
      <c r="J77" s="210">
        <f t="shared" si="32"/>
        <v>0</v>
      </c>
      <c r="K77" s="210"/>
      <c r="L77" s="210">
        <f t="shared" si="33"/>
        <v>0</v>
      </c>
      <c r="M77" s="210"/>
      <c r="N77" s="210">
        <f t="shared" si="34"/>
        <v>0</v>
      </c>
      <c r="O77" s="210"/>
      <c r="P77" s="210">
        <f t="shared" si="35"/>
        <v>0</v>
      </c>
      <c r="Q77" s="210"/>
      <c r="R77" s="210">
        <f t="shared" si="36"/>
        <v>0</v>
      </c>
      <c r="S77" s="210"/>
      <c r="T77" s="210">
        <f t="shared" si="37"/>
        <v>0</v>
      </c>
      <c r="U77" s="210"/>
      <c r="V77" s="210">
        <f t="shared" si="38"/>
        <v>0</v>
      </c>
      <c r="W77" s="210"/>
      <c r="X77" s="210">
        <f t="shared" si="39"/>
        <v>0</v>
      </c>
      <c r="Y77" s="210"/>
      <c r="Z77" s="210">
        <f t="shared" si="40"/>
        <v>0</v>
      </c>
      <c r="AA77" s="210"/>
      <c r="AB77" s="210">
        <f t="shared" si="41"/>
        <v>0</v>
      </c>
      <c r="AC77" s="210"/>
      <c r="AD77" s="210">
        <f t="shared" si="42"/>
        <v>0</v>
      </c>
      <c r="AE77" s="210"/>
      <c r="AF77" s="210">
        <f t="shared" si="43"/>
        <v>0</v>
      </c>
      <c r="AG77" s="210"/>
      <c r="AH77" s="210">
        <f t="shared" si="44"/>
        <v>0</v>
      </c>
      <c r="AI77" s="210"/>
      <c r="AJ77" s="210">
        <f t="shared" si="45"/>
        <v>0</v>
      </c>
      <c r="AK77" s="210"/>
      <c r="AL77" s="210">
        <f t="shared" si="46"/>
        <v>0</v>
      </c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</row>
    <row r="78" spans="2:53" x14ac:dyDescent="0.35">
      <c r="B78" s="135">
        <f t="shared" si="28"/>
        <v>18</v>
      </c>
      <c r="D78" s="135">
        <f t="shared" si="29"/>
        <v>1</v>
      </c>
      <c r="F78" s="135" t="str">
        <f t="shared" si="30"/>
        <v>x</v>
      </c>
      <c r="H78" s="136" t="str">
        <f t="shared" si="31"/>
        <v>x</v>
      </c>
      <c r="J78" s="210">
        <f t="shared" si="32"/>
        <v>0</v>
      </c>
      <c r="K78" s="210"/>
      <c r="L78" s="210">
        <f t="shared" si="33"/>
        <v>0</v>
      </c>
      <c r="M78" s="210"/>
      <c r="N78" s="210">
        <f t="shared" si="34"/>
        <v>0</v>
      </c>
      <c r="O78" s="210"/>
      <c r="P78" s="210">
        <f t="shared" si="35"/>
        <v>0</v>
      </c>
      <c r="Q78" s="210"/>
      <c r="R78" s="210">
        <f t="shared" si="36"/>
        <v>0</v>
      </c>
      <c r="S78" s="210"/>
      <c r="T78" s="210">
        <f t="shared" si="37"/>
        <v>0</v>
      </c>
      <c r="U78" s="210"/>
      <c r="V78" s="210">
        <f t="shared" si="38"/>
        <v>0</v>
      </c>
      <c r="W78" s="210"/>
      <c r="X78" s="210">
        <f t="shared" si="39"/>
        <v>0</v>
      </c>
      <c r="Y78" s="210"/>
      <c r="Z78" s="210">
        <f t="shared" si="40"/>
        <v>0</v>
      </c>
      <c r="AA78" s="210"/>
      <c r="AB78" s="210">
        <f t="shared" si="41"/>
        <v>0</v>
      </c>
      <c r="AC78" s="210"/>
      <c r="AD78" s="210">
        <f t="shared" si="42"/>
        <v>0</v>
      </c>
      <c r="AE78" s="210"/>
      <c r="AF78" s="210">
        <f t="shared" si="43"/>
        <v>0</v>
      </c>
      <c r="AG78" s="210"/>
      <c r="AH78" s="210">
        <f t="shared" si="44"/>
        <v>0</v>
      </c>
      <c r="AI78" s="210"/>
      <c r="AJ78" s="210">
        <f t="shared" si="45"/>
        <v>0</v>
      </c>
      <c r="AK78" s="210"/>
      <c r="AL78" s="210">
        <f t="shared" si="46"/>
        <v>0</v>
      </c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</row>
    <row r="79" spans="2:53" x14ac:dyDescent="0.35">
      <c r="B79" s="168">
        <f t="shared" si="28"/>
        <v>19</v>
      </c>
      <c r="C79" s="169"/>
      <c r="D79" s="168">
        <f t="shared" si="29"/>
        <v>1</v>
      </c>
      <c r="E79" s="171"/>
      <c r="F79" s="168" t="str">
        <f t="shared" si="30"/>
        <v>x</v>
      </c>
      <c r="G79" s="169"/>
      <c r="H79" s="169" t="str">
        <f t="shared" si="31"/>
        <v>x</v>
      </c>
      <c r="I79" s="169"/>
      <c r="J79" s="208">
        <f t="shared" si="32"/>
        <v>0</v>
      </c>
      <c r="K79" s="208"/>
      <c r="L79" s="208">
        <f t="shared" si="33"/>
        <v>0</v>
      </c>
      <c r="M79" s="208"/>
      <c r="N79" s="208">
        <f t="shared" si="34"/>
        <v>0</v>
      </c>
      <c r="O79" s="208"/>
      <c r="P79" s="208">
        <f t="shared" si="35"/>
        <v>0</v>
      </c>
      <c r="Q79" s="208"/>
      <c r="R79" s="208">
        <f t="shared" si="36"/>
        <v>0</v>
      </c>
      <c r="S79" s="208"/>
      <c r="T79" s="208">
        <f t="shared" si="37"/>
        <v>0</v>
      </c>
      <c r="U79" s="208"/>
      <c r="V79" s="208">
        <f t="shared" si="38"/>
        <v>0</v>
      </c>
      <c r="W79" s="208"/>
      <c r="X79" s="208">
        <f t="shared" si="39"/>
        <v>0</v>
      </c>
      <c r="Y79" s="208"/>
      <c r="Z79" s="208">
        <f t="shared" si="40"/>
        <v>0</v>
      </c>
      <c r="AA79" s="208"/>
      <c r="AB79" s="208">
        <f t="shared" si="41"/>
        <v>0</v>
      </c>
      <c r="AC79" s="208"/>
      <c r="AD79" s="208">
        <f t="shared" si="42"/>
        <v>0</v>
      </c>
      <c r="AE79" s="208"/>
      <c r="AF79" s="208">
        <f t="shared" si="43"/>
        <v>0</v>
      </c>
      <c r="AG79" s="208"/>
      <c r="AH79" s="208">
        <f t="shared" si="44"/>
        <v>0</v>
      </c>
      <c r="AI79" s="208"/>
      <c r="AJ79" s="208">
        <f t="shared" si="45"/>
        <v>0</v>
      </c>
      <c r="AK79" s="208"/>
      <c r="AL79" s="208">
        <f t="shared" si="46"/>
        <v>0</v>
      </c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</row>
    <row r="80" spans="2:53" x14ac:dyDescent="0.35">
      <c r="B80" s="168">
        <f t="shared" si="28"/>
        <v>20</v>
      </c>
      <c r="C80" s="169"/>
      <c r="D80" s="168">
        <f t="shared" si="29"/>
        <v>1</v>
      </c>
      <c r="E80" s="171"/>
      <c r="F80" s="168" t="str">
        <f t="shared" si="30"/>
        <v>x</v>
      </c>
      <c r="G80" s="169"/>
      <c r="H80" s="169" t="str">
        <f t="shared" si="31"/>
        <v>x</v>
      </c>
      <c r="I80" s="169"/>
      <c r="J80" s="208">
        <f t="shared" si="32"/>
        <v>0</v>
      </c>
      <c r="K80" s="208"/>
      <c r="L80" s="208">
        <f t="shared" si="33"/>
        <v>0</v>
      </c>
      <c r="M80" s="208"/>
      <c r="N80" s="208">
        <f t="shared" si="34"/>
        <v>0</v>
      </c>
      <c r="O80" s="208"/>
      <c r="P80" s="208">
        <f t="shared" si="35"/>
        <v>0</v>
      </c>
      <c r="Q80" s="208"/>
      <c r="R80" s="208">
        <f t="shared" si="36"/>
        <v>0</v>
      </c>
      <c r="S80" s="208"/>
      <c r="T80" s="208">
        <f t="shared" si="37"/>
        <v>0</v>
      </c>
      <c r="U80" s="208"/>
      <c r="V80" s="208">
        <f t="shared" si="38"/>
        <v>0</v>
      </c>
      <c r="W80" s="208"/>
      <c r="X80" s="208">
        <f t="shared" si="39"/>
        <v>0</v>
      </c>
      <c r="Y80" s="208"/>
      <c r="Z80" s="208">
        <f t="shared" si="40"/>
        <v>0</v>
      </c>
      <c r="AA80" s="208"/>
      <c r="AB80" s="208">
        <f t="shared" si="41"/>
        <v>0</v>
      </c>
      <c r="AC80" s="208"/>
      <c r="AD80" s="208">
        <f t="shared" si="42"/>
        <v>0</v>
      </c>
      <c r="AE80" s="208"/>
      <c r="AF80" s="208">
        <f t="shared" si="43"/>
        <v>0</v>
      </c>
      <c r="AG80" s="208"/>
      <c r="AH80" s="208">
        <f t="shared" si="44"/>
        <v>0</v>
      </c>
      <c r="AI80" s="208"/>
      <c r="AJ80" s="208">
        <f t="shared" si="45"/>
        <v>0</v>
      </c>
      <c r="AK80" s="208"/>
      <c r="AL80" s="208">
        <f t="shared" si="46"/>
        <v>0</v>
      </c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</row>
    <row r="81" spans="2:53" x14ac:dyDescent="0.35">
      <c r="B81" s="168">
        <f t="shared" si="28"/>
        <v>21</v>
      </c>
      <c r="C81" s="169"/>
      <c r="D81" s="168">
        <f t="shared" si="29"/>
        <v>1</v>
      </c>
      <c r="E81" s="171"/>
      <c r="F81" s="168" t="str">
        <f t="shared" si="30"/>
        <v>x</v>
      </c>
      <c r="G81" s="169"/>
      <c r="H81" s="169" t="str">
        <f t="shared" si="31"/>
        <v>x</v>
      </c>
      <c r="I81" s="169"/>
      <c r="J81" s="208">
        <f t="shared" si="32"/>
        <v>0</v>
      </c>
      <c r="K81" s="208"/>
      <c r="L81" s="208">
        <f t="shared" si="33"/>
        <v>0</v>
      </c>
      <c r="M81" s="208"/>
      <c r="N81" s="208">
        <f t="shared" si="34"/>
        <v>0</v>
      </c>
      <c r="O81" s="208"/>
      <c r="P81" s="208">
        <f t="shared" si="35"/>
        <v>0</v>
      </c>
      <c r="Q81" s="208"/>
      <c r="R81" s="208">
        <f t="shared" si="36"/>
        <v>0</v>
      </c>
      <c r="S81" s="208"/>
      <c r="T81" s="208">
        <f t="shared" si="37"/>
        <v>0</v>
      </c>
      <c r="U81" s="208"/>
      <c r="V81" s="208">
        <f t="shared" si="38"/>
        <v>0</v>
      </c>
      <c r="W81" s="208"/>
      <c r="X81" s="208">
        <f t="shared" si="39"/>
        <v>0</v>
      </c>
      <c r="Y81" s="208"/>
      <c r="Z81" s="208">
        <f t="shared" si="40"/>
        <v>0</v>
      </c>
      <c r="AA81" s="208"/>
      <c r="AB81" s="208">
        <f t="shared" si="41"/>
        <v>0</v>
      </c>
      <c r="AC81" s="208"/>
      <c r="AD81" s="208">
        <f t="shared" si="42"/>
        <v>0</v>
      </c>
      <c r="AE81" s="208"/>
      <c r="AF81" s="208">
        <f t="shared" si="43"/>
        <v>0</v>
      </c>
      <c r="AG81" s="208"/>
      <c r="AH81" s="208">
        <f t="shared" si="44"/>
        <v>0</v>
      </c>
      <c r="AI81" s="208"/>
      <c r="AJ81" s="208">
        <f t="shared" si="45"/>
        <v>0</v>
      </c>
      <c r="AK81" s="208"/>
      <c r="AL81" s="208">
        <f t="shared" si="46"/>
        <v>0</v>
      </c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</row>
    <row r="82" spans="2:53" x14ac:dyDescent="0.35">
      <c r="B82" s="135">
        <f t="shared" si="28"/>
        <v>22</v>
      </c>
      <c r="D82" s="135">
        <f t="shared" si="29"/>
        <v>1</v>
      </c>
      <c r="F82" s="135" t="str">
        <f t="shared" si="30"/>
        <v>x</v>
      </c>
      <c r="H82" s="136" t="str">
        <f t="shared" si="31"/>
        <v>x</v>
      </c>
      <c r="J82" s="210">
        <f t="shared" si="32"/>
        <v>0</v>
      </c>
      <c r="K82" s="210"/>
      <c r="L82" s="210">
        <f t="shared" si="33"/>
        <v>0</v>
      </c>
      <c r="M82" s="210"/>
      <c r="N82" s="210">
        <f t="shared" si="34"/>
        <v>0</v>
      </c>
      <c r="O82" s="210"/>
      <c r="P82" s="210">
        <f t="shared" si="35"/>
        <v>0</v>
      </c>
      <c r="Q82" s="210"/>
      <c r="R82" s="210">
        <f t="shared" si="36"/>
        <v>0</v>
      </c>
      <c r="S82" s="210"/>
      <c r="T82" s="210">
        <f t="shared" si="37"/>
        <v>0</v>
      </c>
      <c r="U82" s="210"/>
      <c r="V82" s="210">
        <f t="shared" si="38"/>
        <v>0</v>
      </c>
      <c r="W82" s="210"/>
      <c r="X82" s="210">
        <f t="shared" si="39"/>
        <v>0</v>
      </c>
      <c r="Y82" s="210"/>
      <c r="Z82" s="210">
        <f t="shared" si="40"/>
        <v>0</v>
      </c>
      <c r="AA82" s="210"/>
      <c r="AB82" s="210">
        <f t="shared" si="41"/>
        <v>0</v>
      </c>
      <c r="AC82" s="210"/>
      <c r="AD82" s="210">
        <f t="shared" si="42"/>
        <v>0</v>
      </c>
      <c r="AE82" s="210"/>
      <c r="AF82" s="210">
        <f t="shared" si="43"/>
        <v>0</v>
      </c>
      <c r="AG82" s="210"/>
      <c r="AH82" s="210">
        <f t="shared" si="44"/>
        <v>0</v>
      </c>
      <c r="AI82" s="210"/>
      <c r="AJ82" s="210">
        <f t="shared" si="45"/>
        <v>0</v>
      </c>
      <c r="AK82" s="210"/>
      <c r="AL82" s="210">
        <f t="shared" si="46"/>
        <v>0</v>
      </c>
    </row>
    <row r="83" spans="2:53" x14ac:dyDescent="0.35">
      <c r="B83" s="135">
        <f t="shared" si="28"/>
        <v>23</v>
      </c>
      <c r="D83" s="135">
        <f t="shared" si="29"/>
        <v>1</v>
      </c>
      <c r="F83" s="135" t="str">
        <f t="shared" si="30"/>
        <v>x</v>
      </c>
      <c r="H83" s="136" t="str">
        <f t="shared" si="31"/>
        <v>x</v>
      </c>
      <c r="J83" s="210">
        <f t="shared" si="32"/>
        <v>0</v>
      </c>
      <c r="K83" s="210"/>
      <c r="L83" s="210">
        <f t="shared" si="33"/>
        <v>0</v>
      </c>
      <c r="M83" s="210"/>
      <c r="N83" s="210">
        <f t="shared" si="34"/>
        <v>0</v>
      </c>
      <c r="O83" s="210"/>
      <c r="P83" s="210">
        <f t="shared" si="35"/>
        <v>0</v>
      </c>
      <c r="Q83" s="210"/>
      <c r="R83" s="210">
        <f t="shared" si="36"/>
        <v>0</v>
      </c>
      <c r="S83" s="210"/>
      <c r="T83" s="210">
        <f t="shared" si="37"/>
        <v>0</v>
      </c>
      <c r="U83" s="210"/>
      <c r="V83" s="210">
        <f t="shared" si="38"/>
        <v>0</v>
      </c>
      <c r="W83" s="210"/>
      <c r="X83" s="210">
        <f t="shared" si="39"/>
        <v>0</v>
      </c>
      <c r="Y83" s="210"/>
      <c r="Z83" s="210">
        <f t="shared" si="40"/>
        <v>0</v>
      </c>
      <c r="AA83" s="210"/>
      <c r="AB83" s="210">
        <f t="shared" si="41"/>
        <v>0</v>
      </c>
      <c r="AC83" s="210"/>
      <c r="AD83" s="210">
        <f t="shared" si="42"/>
        <v>0</v>
      </c>
      <c r="AE83" s="210"/>
      <c r="AF83" s="210">
        <f t="shared" si="43"/>
        <v>0</v>
      </c>
      <c r="AG83" s="210"/>
      <c r="AH83" s="210">
        <f t="shared" si="44"/>
        <v>0</v>
      </c>
      <c r="AI83" s="210"/>
      <c r="AJ83" s="210">
        <f t="shared" si="45"/>
        <v>0</v>
      </c>
      <c r="AK83" s="210"/>
      <c r="AL83" s="210">
        <f t="shared" si="46"/>
        <v>0</v>
      </c>
    </row>
    <row r="84" spans="2:53" x14ac:dyDescent="0.35">
      <c r="B84" s="135">
        <f t="shared" si="28"/>
        <v>24</v>
      </c>
      <c r="D84" s="135">
        <f t="shared" si="29"/>
        <v>1</v>
      </c>
      <c r="F84" s="135" t="str">
        <f t="shared" si="30"/>
        <v>x</v>
      </c>
      <c r="H84" s="136" t="str">
        <f t="shared" si="31"/>
        <v>x</v>
      </c>
      <c r="J84" s="210">
        <f t="shared" si="32"/>
        <v>0</v>
      </c>
      <c r="K84" s="210"/>
      <c r="L84" s="210">
        <f t="shared" si="33"/>
        <v>0</v>
      </c>
      <c r="M84" s="210"/>
      <c r="N84" s="210">
        <f t="shared" si="34"/>
        <v>0</v>
      </c>
      <c r="O84" s="210"/>
      <c r="P84" s="210">
        <f t="shared" si="35"/>
        <v>0</v>
      </c>
      <c r="Q84" s="210"/>
      <c r="R84" s="210">
        <f t="shared" si="36"/>
        <v>0</v>
      </c>
      <c r="S84" s="210"/>
      <c r="T84" s="210">
        <f t="shared" si="37"/>
        <v>0</v>
      </c>
      <c r="U84" s="210"/>
      <c r="V84" s="210">
        <f t="shared" si="38"/>
        <v>0</v>
      </c>
      <c r="W84" s="210"/>
      <c r="X84" s="210">
        <f t="shared" si="39"/>
        <v>0</v>
      </c>
      <c r="Y84" s="210"/>
      <c r="Z84" s="210">
        <f t="shared" si="40"/>
        <v>0</v>
      </c>
      <c r="AA84" s="210"/>
      <c r="AB84" s="210">
        <f t="shared" si="41"/>
        <v>0</v>
      </c>
      <c r="AC84" s="210"/>
      <c r="AD84" s="210">
        <f t="shared" si="42"/>
        <v>0</v>
      </c>
      <c r="AE84" s="210"/>
      <c r="AF84" s="210">
        <f t="shared" si="43"/>
        <v>0</v>
      </c>
      <c r="AG84" s="210"/>
      <c r="AH84" s="210">
        <f t="shared" si="44"/>
        <v>0</v>
      </c>
      <c r="AI84" s="210"/>
      <c r="AJ84" s="210">
        <f t="shared" si="45"/>
        <v>0</v>
      </c>
      <c r="AK84" s="210"/>
      <c r="AL84" s="210">
        <f t="shared" si="46"/>
        <v>0</v>
      </c>
    </row>
    <row r="85" spans="2:53" x14ac:dyDescent="0.35">
      <c r="B85" s="168">
        <f t="shared" si="28"/>
        <v>25</v>
      </c>
      <c r="C85" s="169"/>
      <c r="D85" s="168">
        <f t="shared" si="29"/>
        <v>1</v>
      </c>
      <c r="E85" s="171"/>
      <c r="F85" s="168" t="str">
        <f t="shared" si="30"/>
        <v>x</v>
      </c>
      <c r="G85" s="169"/>
      <c r="H85" s="169" t="str">
        <f t="shared" si="31"/>
        <v>x</v>
      </c>
      <c r="I85" s="169"/>
      <c r="J85" s="208">
        <f t="shared" si="32"/>
        <v>0</v>
      </c>
      <c r="K85" s="208"/>
      <c r="L85" s="208">
        <f t="shared" si="33"/>
        <v>0</v>
      </c>
      <c r="M85" s="208"/>
      <c r="N85" s="208">
        <f t="shared" si="34"/>
        <v>0</v>
      </c>
      <c r="O85" s="208"/>
      <c r="P85" s="208">
        <f t="shared" si="35"/>
        <v>0</v>
      </c>
      <c r="Q85" s="208"/>
      <c r="R85" s="208">
        <f t="shared" si="36"/>
        <v>0</v>
      </c>
      <c r="S85" s="208"/>
      <c r="T85" s="208">
        <f t="shared" si="37"/>
        <v>0</v>
      </c>
      <c r="U85" s="208"/>
      <c r="V85" s="208">
        <f t="shared" si="38"/>
        <v>0</v>
      </c>
      <c r="W85" s="208"/>
      <c r="X85" s="208">
        <f t="shared" si="39"/>
        <v>0</v>
      </c>
      <c r="Y85" s="208"/>
      <c r="Z85" s="208">
        <f t="shared" si="40"/>
        <v>0</v>
      </c>
      <c r="AA85" s="208"/>
      <c r="AB85" s="208">
        <f t="shared" si="41"/>
        <v>0</v>
      </c>
      <c r="AC85" s="208"/>
      <c r="AD85" s="208">
        <f t="shared" si="42"/>
        <v>0</v>
      </c>
      <c r="AE85" s="208"/>
      <c r="AF85" s="208">
        <f t="shared" si="43"/>
        <v>0</v>
      </c>
      <c r="AG85" s="208"/>
      <c r="AH85" s="208">
        <f t="shared" si="44"/>
        <v>0</v>
      </c>
      <c r="AI85" s="208"/>
      <c r="AJ85" s="208">
        <f t="shared" si="45"/>
        <v>0</v>
      </c>
      <c r="AK85" s="208"/>
      <c r="AL85" s="208">
        <f t="shared" si="46"/>
        <v>0</v>
      </c>
    </row>
    <row r="86" spans="2:53" x14ac:dyDescent="0.35">
      <c r="B86" s="168">
        <f t="shared" si="28"/>
        <v>26</v>
      </c>
      <c r="C86" s="169"/>
      <c r="D86" s="168">
        <f t="shared" si="29"/>
        <v>1</v>
      </c>
      <c r="E86" s="171"/>
      <c r="F86" s="168" t="str">
        <f t="shared" si="30"/>
        <v>x</v>
      </c>
      <c r="G86" s="169"/>
      <c r="H86" s="169" t="str">
        <f t="shared" si="31"/>
        <v>x</v>
      </c>
      <c r="I86" s="169"/>
      <c r="J86" s="208">
        <f t="shared" si="32"/>
        <v>0</v>
      </c>
      <c r="K86" s="208"/>
      <c r="L86" s="208">
        <f t="shared" si="33"/>
        <v>0</v>
      </c>
      <c r="M86" s="208"/>
      <c r="N86" s="208">
        <f t="shared" si="34"/>
        <v>0</v>
      </c>
      <c r="O86" s="208"/>
      <c r="P86" s="208">
        <f t="shared" si="35"/>
        <v>0</v>
      </c>
      <c r="Q86" s="208"/>
      <c r="R86" s="208">
        <f t="shared" si="36"/>
        <v>0</v>
      </c>
      <c r="S86" s="208"/>
      <c r="T86" s="208">
        <f t="shared" si="37"/>
        <v>0</v>
      </c>
      <c r="U86" s="208"/>
      <c r="V86" s="208">
        <f t="shared" si="38"/>
        <v>0</v>
      </c>
      <c r="W86" s="208"/>
      <c r="X86" s="208">
        <f t="shared" si="39"/>
        <v>0</v>
      </c>
      <c r="Y86" s="208"/>
      <c r="Z86" s="208">
        <f t="shared" si="40"/>
        <v>0</v>
      </c>
      <c r="AA86" s="208"/>
      <c r="AB86" s="208">
        <f t="shared" si="41"/>
        <v>0</v>
      </c>
      <c r="AC86" s="208"/>
      <c r="AD86" s="208">
        <f t="shared" si="42"/>
        <v>0</v>
      </c>
      <c r="AE86" s="208"/>
      <c r="AF86" s="208">
        <f t="shared" si="43"/>
        <v>0</v>
      </c>
      <c r="AG86" s="208"/>
      <c r="AH86" s="208">
        <f t="shared" si="44"/>
        <v>0</v>
      </c>
      <c r="AI86" s="208"/>
      <c r="AJ86" s="208">
        <f t="shared" si="45"/>
        <v>0</v>
      </c>
      <c r="AK86" s="208"/>
      <c r="AL86" s="208">
        <f t="shared" si="46"/>
        <v>0</v>
      </c>
    </row>
    <row r="87" spans="2:53" x14ac:dyDescent="0.35">
      <c r="B87" s="168">
        <f t="shared" si="28"/>
        <v>27</v>
      </c>
      <c r="C87" s="169"/>
      <c r="D87" s="168">
        <f t="shared" si="29"/>
        <v>1</v>
      </c>
      <c r="E87" s="171"/>
      <c r="F87" s="168" t="str">
        <f t="shared" si="30"/>
        <v>x</v>
      </c>
      <c r="G87" s="169"/>
      <c r="H87" s="169" t="str">
        <f t="shared" si="31"/>
        <v>x</v>
      </c>
      <c r="I87" s="169"/>
      <c r="J87" s="208">
        <f t="shared" si="32"/>
        <v>0</v>
      </c>
      <c r="K87" s="208"/>
      <c r="L87" s="208">
        <f t="shared" si="33"/>
        <v>0</v>
      </c>
      <c r="M87" s="208"/>
      <c r="N87" s="208">
        <f t="shared" si="34"/>
        <v>0</v>
      </c>
      <c r="O87" s="208"/>
      <c r="P87" s="208">
        <f t="shared" si="35"/>
        <v>0</v>
      </c>
      <c r="Q87" s="208"/>
      <c r="R87" s="208">
        <f t="shared" si="36"/>
        <v>0</v>
      </c>
      <c r="S87" s="208"/>
      <c r="T87" s="208">
        <f t="shared" si="37"/>
        <v>0</v>
      </c>
      <c r="U87" s="208"/>
      <c r="V87" s="208">
        <f t="shared" si="38"/>
        <v>0</v>
      </c>
      <c r="W87" s="208"/>
      <c r="X87" s="208">
        <f t="shared" si="39"/>
        <v>0</v>
      </c>
      <c r="Y87" s="208"/>
      <c r="Z87" s="208">
        <f t="shared" si="40"/>
        <v>0</v>
      </c>
      <c r="AA87" s="208"/>
      <c r="AB87" s="208">
        <f t="shared" si="41"/>
        <v>0</v>
      </c>
      <c r="AC87" s="208"/>
      <c r="AD87" s="208">
        <f t="shared" si="42"/>
        <v>0</v>
      </c>
      <c r="AE87" s="208"/>
      <c r="AF87" s="208">
        <f t="shared" si="43"/>
        <v>0</v>
      </c>
      <c r="AG87" s="208"/>
      <c r="AH87" s="208">
        <f t="shared" si="44"/>
        <v>0</v>
      </c>
      <c r="AI87" s="208"/>
      <c r="AJ87" s="208">
        <f t="shared" si="45"/>
        <v>0</v>
      </c>
      <c r="AK87" s="208"/>
      <c r="AL87" s="208">
        <f t="shared" si="46"/>
        <v>0</v>
      </c>
    </row>
    <row r="88" spans="2:53" x14ac:dyDescent="0.35">
      <c r="B88" s="135">
        <f t="shared" si="28"/>
        <v>28</v>
      </c>
      <c r="D88" s="135">
        <f t="shared" si="29"/>
        <v>1</v>
      </c>
      <c r="F88" s="135" t="str">
        <f t="shared" si="30"/>
        <v>x</v>
      </c>
      <c r="H88" s="181" t="str">
        <f t="shared" si="31"/>
        <v>x</v>
      </c>
      <c r="J88" s="210">
        <f t="shared" si="32"/>
        <v>0</v>
      </c>
      <c r="K88" s="210"/>
      <c r="L88" s="210">
        <f t="shared" si="33"/>
        <v>0</v>
      </c>
      <c r="M88" s="210"/>
      <c r="N88" s="210">
        <f t="shared" si="34"/>
        <v>0</v>
      </c>
      <c r="O88" s="210"/>
      <c r="P88" s="210">
        <f t="shared" si="35"/>
        <v>0</v>
      </c>
      <c r="Q88" s="210"/>
      <c r="R88" s="210">
        <f t="shared" si="36"/>
        <v>0</v>
      </c>
      <c r="S88" s="210"/>
      <c r="T88" s="210">
        <f t="shared" si="37"/>
        <v>0</v>
      </c>
      <c r="U88" s="210"/>
      <c r="V88" s="210">
        <f t="shared" si="38"/>
        <v>0</v>
      </c>
      <c r="W88" s="210"/>
      <c r="X88" s="210">
        <f t="shared" si="39"/>
        <v>0</v>
      </c>
      <c r="Y88" s="210"/>
      <c r="Z88" s="210">
        <f t="shared" si="40"/>
        <v>0</v>
      </c>
      <c r="AA88" s="210"/>
      <c r="AB88" s="210">
        <f t="shared" si="41"/>
        <v>0</v>
      </c>
      <c r="AC88" s="210"/>
      <c r="AD88" s="210">
        <f t="shared" si="42"/>
        <v>0</v>
      </c>
      <c r="AE88" s="210"/>
      <c r="AF88" s="210">
        <f t="shared" si="43"/>
        <v>0</v>
      </c>
      <c r="AG88" s="210"/>
      <c r="AH88" s="210">
        <f t="shared" si="44"/>
        <v>0</v>
      </c>
      <c r="AI88" s="210"/>
      <c r="AJ88" s="210">
        <f t="shared" si="45"/>
        <v>0</v>
      </c>
      <c r="AK88" s="210"/>
      <c r="AL88" s="210">
        <f t="shared" si="46"/>
        <v>0</v>
      </c>
    </row>
    <row r="89" spans="2:53" x14ac:dyDescent="0.35">
      <c r="B89" s="135">
        <f t="shared" si="28"/>
        <v>29</v>
      </c>
      <c r="D89" s="135">
        <f t="shared" si="29"/>
        <v>1</v>
      </c>
      <c r="F89" s="135" t="str">
        <f t="shared" si="30"/>
        <v>x</v>
      </c>
      <c r="H89" s="181" t="str">
        <f t="shared" si="31"/>
        <v>x</v>
      </c>
      <c r="J89" s="210">
        <f t="shared" si="32"/>
        <v>0</v>
      </c>
      <c r="K89" s="210"/>
      <c r="L89" s="210">
        <f t="shared" si="33"/>
        <v>0</v>
      </c>
      <c r="M89" s="210"/>
      <c r="N89" s="210">
        <f t="shared" si="34"/>
        <v>0</v>
      </c>
      <c r="O89" s="210"/>
      <c r="P89" s="210">
        <f t="shared" si="35"/>
        <v>0</v>
      </c>
      <c r="Q89" s="210"/>
      <c r="R89" s="210">
        <f t="shared" si="36"/>
        <v>0</v>
      </c>
      <c r="S89" s="210"/>
      <c r="T89" s="210">
        <f t="shared" si="37"/>
        <v>0</v>
      </c>
      <c r="U89" s="210"/>
      <c r="V89" s="210">
        <f t="shared" si="38"/>
        <v>0</v>
      </c>
      <c r="W89" s="210"/>
      <c r="X89" s="210">
        <f t="shared" si="39"/>
        <v>0</v>
      </c>
      <c r="Y89" s="210"/>
      <c r="Z89" s="210">
        <f t="shared" si="40"/>
        <v>0</v>
      </c>
      <c r="AA89" s="210"/>
      <c r="AB89" s="210">
        <f t="shared" si="41"/>
        <v>0</v>
      </c>
      <c r="AC89" s="210"/>
      <c r="AD89" s="210">
        <f t="shared" si="42"/>
        <v>0</v>
      </c>
      <c r="AE89" s="210"/>
      <c r="AF89" s="210">
        <f t="shared" si="43"/>
        <v>0</v>
      </c>
      <c r="AG89" s="210"/>
      <c r="AH89" s="210">
        <f t="shared" si="44"/>
        <v>0</v>
      </c>
      <c r="AI89" s="210"/>
      <c r="AJ89" s="210">
        <f t="shared" si="45"/>
        <v>0</v>
      </c>
      <c r="AK89" s="210"/>
      <c r="AL89" s="210">
        <f t="shared" si="46"/>
        <v>0</v>
      </c>
    </row>
    <row r="90" spans="2:53" x14ac:dyDescent="0.35">
      <c r="B90" s="135">
        <f t="shared" si="28"/>
        <v>30</v>
      </c>
      <c r="D90" s="135">
        <f t="shared" si="29"/>
        <v>1</v>
      </c>
      <c r="F90" s="135" t="str">
        <f t="shared" si="30"/>
        <v>x</v>
      </c>
      <c r="H90" s="181" t="str">
        <f t="shared" si="31"/>
        <v>x</v>
      </c>
      <c r="J90" s="210">
        <f t="shared" si="32"/>
        <v>0</v>
      </c>
      <c r="K90" s="210"/>
      <c r="L90" s="210">
        <f t="shared" si="33"/>
        <v>0</v>
      </c>
      <c r="M90" s="210"/>
      <c r="N90" s="210">
        <f t="shared" si="34"/>
        <v>0</v>
      </c>
      <c r="O90" s="210"/>
      <c r="P90" s="210">
        <f t="shared" si="35"/>
        <v>0</v>
      </c>
      <c r="Q90" s="210"/>
      <c r="R90" s="210">
        <f t="shared" si="36"/>
        <v>0</v>
      </c>
      <c r="S90" s="210"/>
      <c r="T90" s="210">
        <f t="shared" si="37"/>
        <v>0</v>
      </c>
      <c r="U90" s="210"/>
      <c r="V90" s="210">
        <f t="shared" si="38"/>
        <v>0</v>
      </c>
      <c r="W90" s="210"/>
      <c r="X90" s="210">
        <f t="shared" si="39"/>
        <v>0</v>
      </c>
      <c r="Y90" s="210"/>
      <c r="Z90" s="210">
        <f t="shared" si="40"/>
        <v>0</v>
      </c>
      <c r="AA90" s="210"/>
      <c r="AB90" s="210">
        <f t="shared" si="41"/>
        <v>0</v>
      </c>
      <c r="AC90" s="210"/>
      <c r="AD90" s="210">
        <f t="shared" si="42"/>
        <v>0</v>
      </c>
      <c r="AE90" s="210"/>
      <c r="AF90" s="210">
        <f t="shared" si="43"/>
        <v>0</v>
      </c>
      <c r="AG90" s="210"/>
      <c r="AH90" s="210">
        <f t="shared" si="44"/>
        <v>0</v>
      </c>
      <c r="AI90" s="210"/>
      <c r="AJ90" s="210">
        <f t="shared" si="45"/>
        <v>0</v>
      </c>
      <c r="AK90" s="210"/>
      <c r="AL90" s="210">
        <f t="shared" si="46"/>
        <v>0</v>
      </c>
    </row>
    <row r="91" spans="2:53" x14ac:dyDescent="0.35">
      <c r="B91" s="168">
        <f t="shared" si="28"/>
        <v>31</v>
      </c>
      <c r="C91" s="169"/>
      <c r="D91" s="168">
        <f t="shared" si="29"/>
        <v>1</v>
      </c>
      <c r="E91" s="171"/>
      <c r="F91" s="168" t="str">
        <f t="shared" si="30"/>
        <v>x</v>
      </c>
      <c r="G91" s="169"/>
      <c r="H91" s="169" t="str">
        <f t="shared" si="31"/>
        <v>x</v>
      </c>
      <c r="I91" s="169"/>
      <c r="J91" s="208">
        <f t="shared" si="32"/>
        <v>0</v>
      </c>
      <c r="K91" s="208"/>
      <c r="L91" s="208">
        <f t="shared" si="33"/>
        <v>0</v>
      </c>
      <c r="M91" s="208"/>
      <c r="N91" s="208">
        <f t="shared" si="34"/>
        <v>0</v>
      </c>
      <c r="O91" s="208"/>
      <c r="P91" s="208">
        <f t="shared" si="35"/>
        <v>0</v>
      </c>
      <c r="Q91" s="208"/>
      <c r="R91" s="208">
        <f t="shared" si="36"/>
        <v>0</v>
      </c>
      <c r="S91" s="208"/>
      <c r="T91" s="208">
        <f t="shared" si="37"/>
        <v>0</v>
      </c>
      <c r="U91" s="208"/>
      <c r="V91" s="208">
        <f t="shared" si="38"/>
        <v>0</v>
      </c>
      <c r="W91" s="208"/>
      <c r="X91" s="208">
        <f t="shared" si="39"/>
        <v>0</v>
      </c>
      <c r="Y91" s="208"/>
      <c r="Z91" s="208">
        <f t="shared" si="40"/>
        <v>0</v>
      </c>
      <c r="AA91" s="208"/>
      <c r="AB91" s="208">
        <f t="shared" si="41"/>
        <v>0</v>
      </c>
      <c r="AC91" s="208"/>
      <c r="AD91" s="208">
        <f t="shared" si="42"/>
        <v>0</v>
      </c>
      <c r="AE91" s="208"/>
      <c r="AF91" s="208">
        <f t="shared" si="43"/>
        <v>0</v>
      </c>
      <c r="AG91" s="208"/>
      <c r="AH91" s="208">
        <f t="shared" si="44"/>
        <v>0</v>
      </c>
      <c r="AI91" s="208"/>
      <c r="AJ91" s="208">
        <f t="shared" si="45"/>
        <v>0</v>
      </c>
      <c r="AK91" s="208"/>
      <c r="AL91" s="208">
        <f t="shared" si="46"/>
        <v>0</v>
      </c>
    </row>
    <row r="92" spans="2:53" x14ac:dyDescent="0.35">
      <c r="B92" s="168">
        <f t="shared" si="28"/>
        <v>32</v>
      </c>
      <c r="C92" s="169"/>
      <c r="D92" s="168">
        <f t="shared" si="29"/>
        <v>1</v>
      </c>
      <c r="E92" s="171"/>
      <c r="F92" s="168" t="str">
        <f t="shared" si="30"/>
        <v>x</v>
      </c>
      <c r="G92" s="169"/>
      <c r="H92" s="169" t="str">
        <f t="shared" si="31"/>
        <v>x</v>
      </c>
      <c r="I92" s="169"/>
      <c r="J92" s="208">
        <f t="shared" si="32"/>
        <v>0</v>
      </c>
      <c r="K92" s="208"/>
      <c r="L92" s="208">
        <f t="shared" si="33"/>
        <v>0</v>
      </c>
      <c r="M92" s="208"/>
      <c r="N92" s="208">
        <f t="shared" si="34"/>
        <v>0</v>
      </c>
      <c r="O92" s="208"/>
      <c r="P92" s="208">
        <f t="shared" si="35"/>
        <v>0</v>
      </c>
      <c r="Q92" s="208"/>
      <c r="R92" s="208">
        <f t="shared" si="36"/>
        <v>0</v>
      </c>
      <c r="S92" s="208"/>
      <c r="T92" s="208">
        <f t="shared" si="37"/>
        <v>0</v>
      </c>
      <c r="U92" s="208"/>
      <c r="V92" s="208">
        <f t="shared" si="38"/>
        <v>0</v>
      </c>
      <c r="W92" s="208"/>
      <c r="X92" s="208">
        <f t="shared" si="39"/>
        <v>0</v>
      </c>
      <c r="Y92" s="208"/>
      <c r="Z92" s="208">
        <f t="shared" si="40"/>
        <v>0</v>
      </c>
      <c r="AA92" s="208"/>
      <c r="AB92" s="208">
        <f t="shared" si="41"/>
        <v>0</v>
      </c>
      <c r="AC92" s="208"/>
      <c r="AD92" s="208">
        <f t="shared" si="42"/>
        <v>0</v>
      </c>
      <c r="AE92" s="208"/>
      <c r="AF92" s="208">
        <f t="shared" si="43"/>
        <v>0</v>
      </c>
      <c r="AG92" s="208"/>
      <c r="AH92" s="208">
        <f t="shared" si="44"/>
        <v>0</v>
      </c>
      <c r="AI92" s="208"/>
      <c r="AJ92" s="208">
        <f t="shared" si="45"/>
        <v>0</v>
      </c>
      <c r="AK92" s="208"/>
      <c r="AL92" s="208">
        <f t="shared" si="46"/>
        <v>0</v>
      </c>
    </row>
    <row r="93" spans="2:53" x14ac:dyDescent="0.35">
      <c r="B93" s="168">
        <f t="shared" si="28"/>
        <v>33</v>
      </c>
      <c r="C93" s="169"/>
      <c r="D93" s="168">
        <f t="shared" si="29"/>
        <v>1</v>
      </c>
      <c r="E93" s="171"/>
      <c r="F93" s="168" t="str">
        <f t="shared" si="30"/>
        <v>x</v>
      </c>
      <c r="G93" s="169"/>
      <c r="H93" s="169" t="str">
        <f t="shared" si="31"/>
        <v>x</v>
      </c>
      <c r="I93" s="169"/>
      <c r="J93" s="208">
        <f t="shared" si="32"/>
        <v>0</v>
      </c>
      <c r="K93" s="208"/>
      <c r="L93" s="208">
        <f t="shared" si="33"/>
        <v>0</v>
      </c>
      <c r="M93" s="208"/>
      <c r="N93" s="208">
        <f t="shared" si="34"/>
        <v>0</v>
      </c>
      <c r="O93" s="208"/>
      <c r="P93" s="208">
        <f t="shared" si="35"/>
        <v>0</v>
      </c>
      <c r="Q93" s="208"/>
      <c r="R93" s="208">
        <f t="shared" si="36"/>
        <v>0</v>
      </c>
      <c r="S93" s="208"/>
      <c r="T93" s="208">
        <f t="shared" si="37"/>
        <v>0</v>
      </c>
      <c r="U93" s="208"/>
      <c r="V93" s="208">
        <f t="shared" si="38"/>
        <v>0</v>
      </c>
      <c r="W93" s="208"/>
      <c r="X93" s="208">
        <f t="shared" si="39"/>
        <v>0</v>
      </c>
      <c r="Y93" s="208"/>
      <c r="Z93" s="208">
        <f t="shared" si="40"/>
        <v>0</v>
      </c>
      <c r="AA93" s="208"/>
      <c r="AB93" s="208">
        <f t="shared" si="41"/>
        <v>0</v>
      </c>
      <c r="AC93" s="208"/>
      <c r="AD93" s="208">
        <f t="shared" si="42"/>
        <v>0</v>
      </c>
      <c r="AE93" s="208"/>
      <c r="AF93" s="208">
        <f t="shared" si="43"/>
        <v>0</v>
      </c>
      <c r="AG93" s="208"/>
      <c r="AH93" s="208">
        <f t="shared" si="44"/>
        <v>0</v>
      </c>
      <c r="AI93" s="208"/>
      <c r="AJ93" s="208">
        <f t="shared" si="45"/>
        <v>0</v>
      </c>
      <c r="AK93" s="208"/>
      <c r="AL93" s="208">
        <f t="shared" si="46"/>
        <v>0</v>
      </c>
    </row>
    <row r="94" spans="2:53" x14ac:dyDescent="0.35">
      <c r="B94" s="135">
        <f t="shared" si="28"/>
        <v>34</v>
      </c>
      <c r="D94" s="135">
        <f t="shared" si="29"/>
        <v>1</v>
      </c>
      <c r="F94" s="135" t="str">
        <f t="shared" si="30"/>
        <v>x</v>
      </c>
      <c r="H94" s="136" t="str">
        <f t="shared" si="31"/>
        <v>x</v>
      </c>
      <c r="J94" s="210">
        <f t="shared" si="32"/>
        <v>0</v>
      </c>
      <c r="K94" s="210"/>
      <c r="L94" s="210">
        <f t="shared" si="33"/>
        <v>0</v>
      </c>
      <c r="M94" s="210"/>
      <c r="N94" s="210">
        <f t="shared" si="34"/>
        <v>0</v>
      </c>
      <c r="O94" s="210"/>
      <c r="P94" s="210">
        <f t="shared" si="35"/>
        <v>0</v>
      </c>
      <c r="Q94" s="210"/>
      <c r="R94" s="210">
        <f t="shared" si="36"/>
        <v>0</v>
      </c>
      <c r="S94" s="210"/>
      <c r="T94" s="210">
        <f t="shared" si="37"/>
        <v>0</v>
      </c>
      <c r="U94" s="210"/>
      <c r="V94" s="210">
        <f t="shared" si="38"/>
        <v>0</v>
      </c>
      <c r="W94" s="210"/>
      <c r="X94" s="210">
        <f t="shared" si="39"/>
        <v>0</v>
      </c>
      <c r="Y94" s="210"/>
      <c r="Z94" s="210">
        <f t="shared" si="40"/>
        <v>0</v>
      </c>
      <c r="AA94" s="210"/>
      <c r="AB94" s="210">
        <f t="shared" si="41"/>
        <v>0</v>
      </c>
      <c r="AC94" s="210"/>
      <c r="AD94" s="210">
        <f t="shared" si="42"/>
        <v>0</v>
      </c>
      <c r="AE94" s="210"/>
      <c r="AF94" s="210">
        <f t="shared" si="43"/>
        <v>0</v>
      </c>
      <c r="AG94" s="210"/>
      <c r="AH94" s="210">
        <f t="shared" si="44"/>
        <v>0</v>
      </c>
      <c r="AI94" s="210"/>
      <c r="AJ94" s="210">
        <f t="shared" si="45"/>
        <v>0</v>
      </c>
      <c r="AK94" s="210"/>
      <c r="AL94" s="210">
        <f t="shared" si="46"/>
        <v>0</v>
      </c>
    </row>
    <row r="95" spans="2:53" x14ac:dyDescent="0.35">
      <c r="B95" s="135">
        <f t="shared" si="28"/>
        <v>35</v>
      </c>
      <c r="D95" s="135">
        <f t="shared" si="29"/>
        <v>1</v>
      </c>
      <c r="F95" s="135" t="str">
        <f t="shared" si="30"/>
        <v>x</v>
      </c>
      <c r="H95" s="136" t="str">
        <f t="shared" si="31"/>
        <v>x</v>
      </c>
      <c r="J95" s="210">
        <f t="shared" si="32"/>
        <v>0</v>
      </c>
      <c r="K95" s="210"/>
      <c r="L95" s="210">
        <f t="shared" si="33"/>
        <v>0</v>
      </c>
      <c r="M95" s="210"/>
      <c r="N95" s="210">
        <f t="shared" si="34"/>
        <v>0</v>
      </c>
      <c r="O95" s="210"/>
      <c r="P95" s="210">
        <f t="shared" si="35"/>
        <v>0</v>
      </c>
      <c r="Q95" s="210"/>
      <c r="R95" s="210">
        <f t="shared" si="36"/>
        <v>0</v>
      </c>
      <c r="S95" s="210"/>
      <c r="T95" s="210">
        <f t="shared" si="37"/>
        <v>0</v>
      </c>
      <c r="U95" s="210"/>
      <c r="V95" s="210">
        <f t="shared" si="38"/>
        <v>0</v>
      </c>
      <c r="W95" s="210"/>
      <c r="X95" s="210">
        <f t="shared" si="39"/>
        <v>0</v>
      </c>
      <c r="Y95" s="210"/>
      <c r="Z95" s="210">
        <f t="shared" si="40"/>
        <v>0</v>
      </c>
      <c r="AA95" s="210"/>
      <c r="AB95" s="210">
        <f t="shared" si="41"/>
        <v>0</v>
      </c>
      <c r="AC95" s="210"/>
      <c r="AD95" s="210">
        <f t="shared" si="42"/>
        <v>0</v>
      </c>
      <c r="AE95" s="210"/>
      <c r="AF95" s="210">
        <f t="shared" si="43"/>
        <v>0</v>
      </c>
      <c r="AG95" s="210"/>
      <c r="AH95" s="210">
        <f t="shared" si="44"/>
        <v>0</v>
      </c>
      <c r="AI95" s="210"/>
      <c r="AJ95" s="210">
        <f t="shared" si="45"/>
        <v>0</v>
      </c>
      <c r="AK95" s="210"/>
      <c r="AL95" s="210">
        <f t="shared" si="46"/>
        <v>0</v>
      </c>
    </row>
    <row r="96" spans="2:53" x14ac:dyDescent="0.35">
      <c r="B96" s="135">
        <f t="shared" si="28"/>
        <v>36</v>
      </c>
      <c r="D96" s="135">
        <f t="shared" si="29"/>
        <v>1</v>
      </c>
      <c r="F96" s="135" t="str">
        <f t="shared" si="30"/>
        <v>x</v>
      </c>
      <c r="H96" s="136" t="str">
        <f t="shared" si="31"/>
        <v>x</v>
      </c>
      <c r="J96" s="210">
        <f t="shared" si="32"/>
        <v>0</v>
      </c>
      <c r="K96" s="210"/>
      <c r="L96" s="210">
        <f t="shared" si="33"/>
        <v>0</v>
      </c>
      <c r="M96" s="210"/>
      <c r="N96" s="210">
        <f t="shared" si="34"/>
        <v>0</v>
      </c>
      <c r="O96" s="210"/>
      <c r="P96" s="210">
        <f t="shared" si="35"/>
        <v>0</v>
      </c>
      <c r="Q96" s="210"/>
      <c r="R96" s="210">
        <f t="shared" si="36"/>
        <v>0</v>
      </c>
      <c r="S96" s="210"/>
      <c r="T96" s="210">
        <f t="shared" si="37"/>
        <v>0</v>
      </c>
      <c r="U96" s="210"/>
      <c r="V96" s="210">
        <f t="shared" si="38"/>
        <v>0</v>
      </c>
      <c r="W96" s="210"/>
      <c r="X96" s="210">
        <f t="shared" si="39"/>
        <v>0</v>
      </c>
      <c r="Y96" s="210"/>
      <c r="Z96" s="210">
        <f t="shared" si="40"/>
        <v>0</v>
      </c>
      <c r="AA96" s="210"/>
      <c r="AB96" s="210">
        <f t="shared" si="41"/>
        <v>0</v>
      </c>
      <c r="AC96" s="210"/>
      <c r="AD96" s="210">
        <f t="shared" si="42"/>
        <v>0</v>
      </c>
      <c r="AE96" s="210"/>
      <c r="AF96" s="210">
        <f t="shared" si="43"/>
        <v>0</v>
      </c>
      <c r="AG96" s="210"/>
      <c r="AH96" s="210">
        <f t="shared" si="44"/>
        <v>0</v>
      </c>
      <c r="AI96" s="210"/>
      <c r="AJ96" s="210">
        <f t="shared" si="45"/>
        <v>0</v>
      </c>
      <c r="AK96" s="210"/>
      <c r="AL96" s="210">
        <f t="shared" si="46"/>
        <v>0</v>
      </c>
    </row>
    <row r="97" spans="2:42" x14ac:dyDescent="0.35">
      <c r="B97" s="168">
        <f t="shared" si="28"/>
        <v>37</v>
      </c>
      <c r="C97" s="169"/>
      <c r="D97" s="168">
        <f t="shared" si="29"/>
        <v>1</v>
      </c>
      <c r="E97" s="171"/>
      <c r="F97" s="168" t="str">
        <f t="shared" si="30"/>
        <v>x</v>
      </c>
      <c r="G97" s="169"/>
      <c r="H97" s="169" t="str">
        <f t="shared" si="31"/>
        <v>x</v>
      </c>
      <c r="I97" s="169"/>
      <c r="J97" s="208">
        <f t="shared" si="32"/>
        <v>0</v>
      </c>
      <c r="K97" s="208"/>
      <c r="L97" s="208">
        <f t="shared" si="33"/>
        <v>0</v>
      </c>
      <c r="M97" s="208"/>
      <c r="N97" s="208">
        <f t="shared" si="34"/>
        <v>0</v>
      </c>
      <c r="O97" s="208"/>
      <c r="P97" s="208">
        <f t="shared" si="35"/>
        <v>0</v>
      </c>
      <c r="Q97" s="208"/>
      <c r="R97" s="208">
        <f t="shared" si="36"/>
        <v>0</v>
      </c>
      <c r="S97" s="208"/>
      <c r="T97" s="208">
        <f t="shared" si="37"/>
        <v>0</v>
      </c>
      <c r="U97" s="208"/>
      <c r="V97" s="208">
        <f t="shared" si="38"/>
        <v>0</v>
      </c>
      <c r="W97" s="208"/>
      <c r="X97" s="208">
        <f t="shared" si="39"/>
        <v>0</v>
      </c>
      <c r="Y97" s="208"/>
      <c r="Z97" s="208">
        <f t="shared" si="40"/>
        <v>0</v>
      </c>
      <c r="AA97" s="208"/>
      <c r="AB97" s="208">
        <f t="shared" si="41"/>
        <v>0</v>
      </c>
      <c r="AC97" s="208"/>
      <c r="AD97" s="208">
        <f t="shared" si="42"/>
        <v>0</v>
      </c>
      <c r="AE97" s="208"/>
      <c r="AF97" s="208">
        <f t="shared" si="43"/>
        <v>0</v>
      </c>
      <c r="AG97" s="208"/>
      <c r="AH97" s="208">
        <f t="shared" si="44"/>
        <v>0</v>
      </c>
      <c r="AI97" s="208"/>
      <c r="AJ97" s="208">
        <f t="shared" si="45"/>
        <v>0</v>
      </c>
      <c r="AK97" s="208"/>
      <c r="AL97" s="208">
        <f t="shared" si="46"/>
        <v>0</v>
      </c>
    </row>
    <row r="98" spans="2:42" x14ac:dyDescent="0.35">
      <c r="B98" s="168">
        <f t="shared" si="28"/>
        <v>38</v>
      </c>
      <c r="C98" s="169"/>
      <c r="D98" s="168">
        <f t="shared" si="29"/>
        <v>1</v>
      </c>
      <c r="E98" s="171"/>
      <c r="F98" s="168" t="str">
        <f t="shared" si="30"/>
        <v>x</v>
      </c>
      <c r="G98" s="169"/>
      <c r="H98" s="169" t="str">
        <f t="shared" si="31"/>
        <v>x</v>
      </c>
      <c r="I98" s="169"/>
      <c r="J98" s="208">
        <f t="shared" si="32"/>
        <v>0</v>
      </c>
      <c r="K98" s="208"/>
      <c r="L98" s="208">
        <f t="shared" si="33"/>
        <v>0</v>
      </c>
      <c r="M98" s="208"/>
      <c r="N98" s="208">
        <f t="shared" si="34"/>
        <v>0</v>
      </c>
      <c r="O98" s="208"/>
      <c r="P98" s="208">
        <f t="shared" si="35"/>
        <v>0</v>
      </c>
      <c r="Q98" s="208"/>
      <c r="R98" s="208">
        <f t="shared" si="36"/>
        <v>0</v>
      </c>
      <c r="S98" s="208"/>
      <c r="T98" s="208">
        <f t="shared" si="37"/>
        <v>0</v>
      </c>
      <c r="U98" s="208"/>
      <c r="V98" s="208">
        <f t="shared" si="38"/>
        <v>0</v>
      </c>
      <c r="W98" s="208"/>
      <c r="X98" s="208">
        <f t="shared" si="39"/>
        <v>0</v>
      </c>
      <c r="Y98" s="208"/>
      <c r="Z98" s="208">
        <f t="shared" si="40"/>
        <v>0</v>
      </c>
      <c r="AA98" s="208"/>
      <c r="AB98" s="208">
        <f t="shared" si="41"/>
        <v>0</v>
      </c>
      <c r="AC98" s="208"/>
      <c r="AD98" s="208">
        <f t="shared" si="42"/>
        <v>0</v>
      </c>
      <c r="AE98" s="208"/>
      <c r="AF98" s="208">
        <f t="shared" si="43"/>
        <v>0</v>
      </c>
      <c r="AG98" s="208"/>
      <c r="AH98" s="208">
        <f t="shared" si="44"/>
        <v>0</v>
      </c>
      <c r="AI98" s="208"/>
      <c r="AJ98" s="208">
        <f t="shared" si="45"/>
        <v>0</v>
      </c>
      <c r="AK98" s="208"/>
      <c r="AL98" s="208">
        <f t="shared" si="46"/>
        <v>0</v>
      </c>
    </row>
    <row r="99" spans="2:42" x14ac:dyDescent="0.35">
      <c r="B99" s="168">
        <f t="shared" si="28"/>
        <v>39</v>
      </c>
      <c r="C99" s="169"/>
      <c r="D99" s="168">
        <f t="shared" si="29"/>
        <v>1</v>
      </c>
      <c r="E99" s="171"/>
      <c r="F99" s="168" t="str">
        <f t="shared" si="30"/>
        <v>x</v>
      </c>
      <c r="G99" s="169"/>
      <c r="H99" s="169" t="str">
        <f t="shared" si="31"/>
        <v>x</v>
      </c>
      <c r="I99" s="169"/>
      <c r="J99" s="208">
        <f t="shared" si="32"/>
        <v>0</v>
      </c>
      <c r="K99" s="208"/>
      <c r="L99" s="208">
        <f t="shared" si="33"/>
        <v>0</v>
      </c>
      <c r="M99" s="208"/>
      <c r="N99" s="208">
        <f t="shared" si="34"/>
        <v>0</v>
      </c>
      <c r="O99" s="208"/>
      <c r="P99" s="208">
        <f t="shared" si="35"/>
        <v>0</v>
      </c>
      <c r="Q99" s="208"/>
      <c r="R99" s="208">
        <f t="shared" si="36"/>
        <v>0</v>
      </c>
      <c r="S99" s="208"/>
      <c r="T99" s="208">
        <f t="shared" si="37"/>
        <v>0</v>
      </c>
      <c r="U99" s="208"/>
      <c r="V99" s="208">
        <f t="shared" si="38"/>
        <v>0</v>
      </c>
      <c r="W99" s="208"/>
      <c r="X99" s="208">
        <f t="shared" si="39"/>
        <v>0</v>
      </c>
      <c r="Y99" s="208"/>
      <c r="Z99" s="208">
        <f t="shared" si="40"/>
        <v>0</v>
      </c>
      <c r="AA99" s="208"/>
      <c r="AB99" s="208">
        <f t="shared" si="41"/>
        <v>0</v>
      </c>
      <c r="AC99" s="208"/>
      <c r="AD99" s="208">
        <f t="shared" si="42"/>
        <v>0</v>
      </c>
      <c r="AE99" s="208"/>
      <c r="AF99" s="208">
        <f t="shared" si="43"/>
        <v>0</v>
      </c>
      <c r="AG99" s="208"/>
      <c r="AH99" s="208">
        <f t="shared" si="44"/>
        <v>0</v>
      </c>
      <c r="AI99" s="208"/>
      <c r="AJ99" s="208">
        <f t="shared" si="45"/>
        <v>0</v>
      </c>
      <c r="AK99" s="208"/>
      <c r="AL99" s="208">
        <f t="shared" si="46"/>
        <v>0</v>
      </c>
    </row>
    <row r="100" spans="2:42" s="181" customFormat="1" x14ac:dyDescent="0.35">
      <c r="B100" s="180">
        <f t="shared" si="28"/>
        <v>40</v>
      </c>
      <c r="D100" s="180">
        <f t="shared" si="29"/>
        <v>1</v>
      </c>
      <c r="E100" s="183"/>
      <c r="F100" s="135" t="str">
        <f t="shared" si="30"/>
        <v>x</v>
      </c>
      <c r="H100" s="181" t="str">
        <f t="shared" si="31"/>
        <v>x</v>
      </c>
      <c r="J100" s="213">
        <f t="shared" si="32"/>
        <v>0</v>
      </c>
      <c r="K100" s="213"/>
      <c r="L100" s="213">
        <f t="shared" si="33"/>
        <v>0</v>
      </c>
      <c r="M100" s="213"/>
      <c r="N100" s="213">
        <f t="shared" si="34"/>
        <v>0</v>
      </c>
      <c r="O100" s="213"/>
      <c r="P100" s="213">
        <f t="shared" si="35"/>
        <v>0</v>
      </c>
      <c r="Q100" s="213"/>
      <c r="R100" s="213">
        <f t="shared" si="36"/>
        <v>0</v>
      </c>
      <c r="S100" s="213"/>
      <c r="T100" s="213">
        <f t="shared" si="37"/>
        <v>0</v>
      </c>
      <c r="U100" s="213"/>
      <c r="V100" s="213">
        <f t="shared" si="38"/>
        <v>0</v>
      </c>
      <c r="W100" s="213"/>
      <c r="X100" s="213">
        <f t="shared" si="39"/>
        <v>0</v>
      </c>
      <c r="Y100" s="213"/>
      <c r="Z100" s="213">
        <f t="shared" si="40"/>
        <v>0</v>
      </c>
      <c r="AA100" s="213"/>
      <c r="AB100" s="213">
        <f t="shared" si="41"/>
        <v>0</v>
      </c>
      <c r="AC100" s="213"/>
      <c r="AD100" s="213">
        <f t="shared" si="42"/>
        <v>0</v>
      </c>
      <c r="AE100" s="213"/>
      <c r="AF100" s="213">
        <f t="shared" si="43"/>
        <v>0</v>
      </c>
      <c r="AG100" s="213"/>
      <c r="AH100" s="213">
        <f t="shared" si="44"/>
        <v>0</v>
      </c>
      <c r="AI100" s="213"/>
      <c r="AJ100" s="213">
        <f t="shared" si="45"/>
        <v>0</v>
      </c>
      <c r="AK100" s="213"/>
      <c r="AL100" s="213">
        <f t="shared" si="46"/>
        <v>0</v>
      </c>
    </row>
    <row r="101" spans="2:42" ht="9.9499999999999993" customHeight="1" x14ac:dyDescent="0.35">
      <c r="D101" s="135"/>
      <c r="J101" s="215"/>
      <c r="K101" s="210"/>
      <c r="L101" s="215"/>
      <c r="M101" s="210"/>
      <c r="N101" s="215"/>
      <c r="O101" s="210"/>
      <c r="P101" s="215"/>
      <c r="Q101" s="210"/>
      <c r="R101" s="215"/>
      <c r="S101" s="210"/>
      <c r="T101" s="215"/>
      <c r="U101" s="210"/>
      <c r="V101" s="215"/>
      <c r="W101" s="210"/>
      <c r="X101" s="215"/>
      <c r="Y101" s="210"/>
      <c r="Z101" s="215"/>
      <c r="AA101" s="210"/>
      <c r="AB101" s="215"/>
      <c r="AC101" s="210"/>
      <c r="AD101" s="215"/>
      <c r="AE101" s="210"/>
      <c r="AF101" s="215"/>
      <c r="AG101" s="210"/>
      <c r="AH101" s="215"/>
      <c r="AI101" s="210"/>
      <c r="AJ101" s="215"/>
      <c r="AK101" s="210"/>
      <c r="AL101" s="215"/>
    </row>
    <row r="102" spans="2:42" ht="24" thickBot="1" x14ac:dyDescent="0.4">
      <c r="D102" s="135"/>
      <c r="H102" s="141" t="str">
        <f>+H52</f>
        <v>Anticipated Expenditures, By Year</v>
      </c>
      <c r="J102" s="216">
        <f>SUM(J61:J100)</f>
        <v>0</v>
      </c>
      <c r="K102" s="217"/>
      <c r="L102" s="216">
        <f>SUM(L61:L100)</f>
        <v>0</v>
      </c>
      <c r="M102" s="217"/>
      <c r="N102" s="216">
        <f>SUM(N61:N100)</f>
        <v>0</v>
      </c>
      <c r="O102" s="217"/>
      <c r="P102" s="216">
        <f>SUM(P61:P100)</f>
        <v>0</v>
      </c>
      <c r="Q102" s="217"/>
      <c r="R102" s="216">
        <f>SUM(R61:R100)</f>
        <v>0</v>
      </c>
      <c r="S102" s="217"/>
      <c r="T102" s="216">
        <f>SUM(T61:T100)</f>
        <v>0</v>
      </c>
      <c r="U102" s="217"/>
      <c r="V102" s="216">
        <f>SUM(V61:V100)</f>
        <v>0</v>
      </c>
      <c r="W102" s="217"/>
      <c r="X102" s="216">
        <f>SUM(X61:X100)</f>
        <v>0</v>
      </c>
      <c r="Y102" s="217"/>
      <c r="Z102" s="216">
        <f>SUM(Z61:Z100)</f>
        <v>0</v>
      </c>
      <c r="AA102" s="217"/>
      <c r="AB102" s="216">
        <f>SUM(AB61:AB100)</f>
        <v>0</v>
      </c>
      <c r="AC102" s="217"/>
      <c r="AD102" s="216">
        <f>SUM(AD61:AD100)</f>
        <v>0</v>
      </c>
      <c r="AE102" s="217"/>
      <c r="AF102" s="216">
        <f>SUM(AF61:AF100)</f>
        <v>0</v>
      </c>
      <c r="AG102" s="217"/>
      <c r="AH102" s="216">
        <f>SUM(AH61:AH100)</f>
        <v>0</v>
      </c>
      <c r="AI102" s="217"/>
      <c r="AJ102" s="216">
        <f>SUM(AJ61:AJ100)</f>
        <v>0</v>
      </c>
      <c r="AK102" s="217"/>
      <c r="AL102" s="216">
        <f>SUM(AL61:AL100)</f>
        <v>0</v>
      </c>
      <c r="AN102" s="178"/>
      <c r="AP102" s="178"/>
    </row>
    <row r="103" spans="2:42" ht="24" thickTop="1" x14ac:dyDescent="0.35">
      <c r="D103" s="135"/>
      <c r="J103" s="178"/>
      <c r="K103" s="178"/>
      <c r="L103" s="178"/>
      <c r="M103" s="178"/>
      <c r="N103" s="178"/>
      <c r="O103" s="178"/>
      <c r="P103" s="178"/>
      <c r="Q103" s="178"/>
      <c r="R103" s="178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  <c r="AL103" s="207"/>
    </row>
    <row r="104" spans="2:42" x14ac:dyDescent="0.35">
      <c r="D104" s="135"/>
      <c r="J104" s="178"/>
      <c r="K104" s="178"/>
      <c r="L104" s="178"/>
      <c r="M104" s="178"/>
      <c r="N104" s="178"/>
      <c r="O104" s="178"/>
      <c r="P104" s="178"/>
      <c r="Q104" s="178"/>
      <c r="R104" s="178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</row>
    <row r="105" spans="2:42" x14ac:dyDescent="0.35">
      <c r="D105" s="135"/>
      <c r="J105" s="178"/>
      <c r="K105" s="178"/>
      <c r="L105" s="178"/>
      <c r="M105" s="178"/>
      <c r="N105" s="178"/>
      <c r="O105" s="178"/>
      <c r="P105" s="178"/>
      <c r="Q105" s="178"/>
      <c r="R105" s="178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  <c r="AL105" s="207"/>
    </row>
    <row r="106" spans="2:42" x14ac:dyDescent="0.35">
      <c r="D106" s="135"/>
      <c r="J106" s="178"/>
      <c r="K106" s="178"/>
      <c r="L106" s="178"/>
      <c r="M106" s="178"/>
      <c r="N106" s="178"/>
      <c r="O106" s="178"/>
      <c r="P106" s="178"/>
      <c r="Q106" s="178"/>
      <c r="R106" s="178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  <c r="AL106" s="207"/>
    </row>
    <row r="107" spans="2:42" x14ac:dyDescent="0.35">
      <c r="D107" s="135"/>
      <c r="J107" s="178"/>
      <c r="K107" s="178"/>
      <c r="L107" s="178"/>
      <c r="M107" s="178"/>
      <c r="N107" s="178"/>
      <c r="O107" s="178"/>
      <c r="P107" s="178"/>
      <c r="Q107" s="178"/>
      <c r="R107" s="178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  <c r="AL107" s="207"/>
    </row>
    <row r="108" spans="2:42" x14ac:dyDescent="0.35">
      <c r="D108" s="135"/>
      <c r="J108" s="178"/>
      <c r="K108" s="178"/>
      <c r="L108" s="178"/>
      <c r="M108" s="178"/>
      <c r="N108" s="178"/>
      <c r="O108" s="178"/>
      <c r="P108" s="178"/>
      <c r="Q108" s="178"/>
      <c r="R108" s="178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  <c r="AL108" s="207"/>
    </row>
    <row r="109" spans="2:42" x14ac:dyDescent="0.35">
      <c r="D109" s="135"/>
      <c r="J109" s="178"/>
      <c r="K109" s="178"/>
      <c r="L109" s="178"/>
      <c r="M109" s="178"/>
      <c r="N109" s="178"/>
      <c r="O109" s="178"/>
      <c r="P109" s="178"/>
      <c r="Q109" s="178"/>
      <c r="R109" s="178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  <c r="AL109" s="207"/>
    </row>
    <row r="110" spans="2:42" x14ac:dyDescent="0.35">
      <c r="D110" s="135"/>
      <c r="J110" s="178"/>
      <c r="K110" s="178"/>
      <c r="L110" s="178"/>
      <c r="M110" s="178"/>
      <c r="N110" s="178"/>
      <c r="O110" s="178"/>
      <c r="P110" s="178"/>
      <c r="Q110" s="178"/>
      <c r="R110" s="178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  <c r="AL110" s="207"/>
    </row>
    <row r="111" spans="2:42" x14ac:dyDescent="0.35">
      <c r="D111" s="135"/>
      <c r="J111" s="178"/>
      <c r="K111" s="178"/>
      <c r="L111" s="178"/>
      <c r="M111" s="178"/>
      <c r="N111" s="178"/>
      <c r="O111" s="178"/>
      <c r="P111" s="178"/>
      <c r="Q111" s="178"/>
      <c r="R111" s="178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</row>
    <row r="112" spans="2:42" x14ac:dyDescent="0.35">
      <c r="D112" s="135"/>
      <c r="J112" s="178"/>
      <c r="K112" s="178"/>
      <c r="L112" s="178"/>
      <c r="M112" s="178"/>
      <c r="N112" s="178"/>
      <c r="O112" s="178"/>
      <c r="P112" s="178"/>
      <c r="Q112" s="178"/>
      <c r="R112" s="178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  <c r="AL112" s="207"/>
    </row>
    <row r="113" spans="4:38" x14ac:dyDescent="0.35">
      <c r="D113" s="135"/>
      <c r="J113" s="178"/>
      <c r="K113" s="178"/>
      <c r="L113" s="178"/>
      <c r="M113" s="178"/>
      <c r="N113" s="178"/>
      <c r="O113" s="178"/>
      <c r="P113" s="178"/>
      <c r="Q113" s="178"/>
      <c r="R113" s="178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  <c r="AL113" s="207"/>
    </row>
    <row r="114" spans="4:38" x14ac:dyDescent="0.35">
      <c r="D114" s="135"/>
      <c r="J114" s="178"/>
      <c r="K114" s="178"/>
      <c r="L114" s="178"/>
      <c r="M114" s="178"/>
      <c r="N114" s="178"/>
      <c r="O114" s="178"/>
      <c r="P114" s="178"/>
      <c r="Q114" s="178"/>
      <c r="R114" s="178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  <c r="AL114" s="207"/>
    </row>
  </sheetData>
  <mergeCells count="8">
    <mergeCell ref="V6:V7"/>
    <mergeCell ref="B56:B57"/>
    <mergeCell ref="B6:B7"/>
    <mergeCell ref="J6:J7"/>
    <mergeCell ref="L6:N6"/>
    <mergeCell ref="P6:P7"/>
    <mergeCell ref="R6:R7"/>
    <mergeCell ref="T6:T7"/>
  </mergeCells>
  <printOptions horizontalCentered="1"/>
  <pageMargins left="0.25" right="0.25" top="0.75" bottom="0.75" header="0.3" footer="0.3"/>
  <pageSetup paperSize="3" scale="30" orientation="landscape" copies="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9410-3060-422E-ACA4-F30C61EBEBB6}">
  <sheetPr>
    <pageSetUpPr fitToPage="1"/>
  </sheetPr>
  <dimension ref="B1:BA114"/>
  <sheetViews>
    <sheetView zoomScale="32" zoomScaleNormal="32" zoomScaleSheetLayoutView="32" zoomScalePageLayoutView="25" workbookViewId="0">
      <selection activeCell="R6" sqref="R6:R7"/>
    </sheetView>
  </sheetViews>
  <sheetFormatPr defaultRowHeight="23.25" x14ac:dyDescent="0.35"/>
  <cols>
    <col min="1" max="1" width="10" style="136" customWidth="1"/>
    <col min="2" max="2" width="6.7109375" style="135" customWidth="1"/>
    <col min="3" max="3" width="1.7109375" style="136" customWidth="1"/>
    <col min="4" max="4" width="17.85546875" style="178" bestFit="1" customWidth="1"/>
    <col min="5" max="5" width="1.7109375" style="138" customWidth="1"/>
    <col min="6" max="6" width="20.7109375" style="135" bestFit="1" customWidth="1"/>
    <col min="7" max="7" width="1.7109375" style="136" customWidth="1"/>
    <col min="8" max="8" width="126.85546875" style="136" customWidth="1"/>
    <col min="9" max="9" width="1.7109375" style="136" customWidth="1"/>
    <col min="10" max="10" width="17.42578125" style="135" customWidth="1"/>
    <col min="11" max="11" width="2.140625" style="136" customWidth="1"/>
    <col min="12" max="12" width="16.5703125" style="135" customWidth="1"/>
    <col min="13" max="13" width="2.28515625" style="136" customWidth="1"/>
    <col min="14" max="14" width="18.7109375" style="135" bestFit="1" customWidth="1"/>
    <col min="15" max="15" width="1.7109375" style="136" customWidth="1"/>
    <col min="16" max="16" width="24.5703125" style="139" customWidth="1"/>
    <col min="17" max="17" width="1.7109375" style="136" customWidth="1"/>
    <col min="18" max="18" width="17.42578125" style="140" customWidth="1"/>
    <col min="19" max="19" width="1.7109375" style="136" customWidth="1"/>
    <col min="20" max="20" width="21.42578125" style="141" customWidth="1"/>
    <col min="21" max="21" width="1.7109375" style="141" customWidth="1"/>
    <col min="22" max="22" width="21.7109375" style="136" customWidth="1"/>
    <col min="23" max="23" width="1.7109375" style="136" customWidth="1"/>
    <col min="24" max="24" width="19.28515625" style="136" bestFit="1" customWidth="1"/>
    <col min="25" max="25" width="1.7109375" style="136" customWidth="1"/>
    <col min="26" max="26" width="19.140625" style="136" customWidth="1"/>
    <col min="27" max="27" width="1.7109375" style="136" customWidth="1"/>
    <col min="28" max="28" width="19.28515625" style="136" bestFit="1" customWidth="1"/>
    <col min="29" max="29" width="1.7109375" style="136" customWidth="1"/>
    <col min="30" max="30" width="19.28515625" style="136" bestFit="1" customWidth="1"/>
    <col min="31" max="31" width="1.7109375" style="136" customWidth="1"/>
    <col min="32" max="32" width="19.28515625" style="136" bestFit="1" customWidth="1"/>
    <col min="33" max="33" width="1.7109375" style="136" customWidth="1"/>
    <col min="34" max="34" width="19.28515625" style="136" bestFit="1" customWidth="1"/>
    <col min="35" max="35" width="1.7109375" style="136" customWidth="1"/>
    <col min="36" max="36" width="19.28515625" style="136" bestFit="1" customWidth="1"/>
    <col min="37" max="37" width="1.7109375" style="136" customWidth="1"/>
    <col min="38" max="38" width="19.28515625" style="136" bestFit="1" customWidth="1"/>
    <col min="39" max="39" width="1.7109375" style="136" customWidth="1"/>
    <col min="40" max="40" width="18.28515625" style="136" bestFit="1" customWidth="1"/>
    <col min="41" max="41" width="1.7109375" style="136" customWidth="1"/>
    <col min="42" max="42" width="18.28515625" style="136" bestFit="1" customWidth="1"/>
    <col min="43" max="43" width="1.7109375" style="136" customWidth="1"/>
    <col min="44" max="44" width="17.140625" style="136" bestFit="1" customWidth="1"/>
    <col min="45" max="45" width="1.7109375" style="136" customWidth="1"/>
    <col min="46" max="46" width="15.140625" style="136" bestFit="1" customWidth="1"/>
    <col min="47" max="47" width="1.7109375" style="136" customWidth="1"/>
    <col min="48" max="48" width="19.140625" style="136" bestFit="1" customWidth="1"/>
    <col min="49" max="49" width="1.7109375" style="136" customWidth="1"/>
    <col min="50" max="50" width="17.140625" style="136" bestFit="1" customWidth="1"/>
    <col min="51" max="51" width="1.7109375" style="136" customWidth="1"/>
    <col min="52" max="52" width="19.140625" style="136" bestFit="1" customWidth="1"/>
    <col min="53" max="53" width="1.7109375" style="136" customWidth="1"/>
    <col min="54" max="16384" width="9.140625" style="136"/>
  </cols>
  <sheetData>
    <row r="1" spans="2:53" ht="23.45" customHeight="1" x14ac:dyDescent="0.35">
      <c r="D1" s="137"/>
      <c r="H1" s="142" t="s">
        <v>31</v>
      </c>
    </row>
    <row r="2" spans="2:53" x14ac:dyDescent="0.35">
      <c r="D2" s="143"/>
      <c r="V2" s="145" t="s">
        <v>10</v>
      </c>
    </row>
    <row r="3" spans="2:53" x14ac:dyDescent="0.35">
      <c r="D3" s="137"/>
      <c r="H3" s="144" t="s">
        <v>8</v>
      </c>
      <c r="P3" s="235" t="s">
        <v>78</v>
      </c>
      <c r="U3" s="146" t="s">
        <v>11</v>
      </c>
      <c r="V3" s="147">
        <v>0.03</v>
      </c>
      <c r="W3" s="148" t="s">
        <v>13</v>
      </c>
    </row>
    <row r="4" spans="2:53" x14ac:dyDescent="0.35">
      <c r="D4" s="149"/>
      <c r="F4" s="150"/>
      <c r="G4" s="151"/>
      <c r="H4" s="142" t="s">
        <v>9</v>
      </c>
      <c r="I4" s="151"/>
      <c r="J4" s="150"/>
      <c r="P4" s="236">
        <v>2023</v>
      </c>
      <c r="U4" s="146" t="s">
        <v>12</v>
      </c>
      <c r="V4" s="141" t="s">
        <v>17</v>
      </c>
    </row>
    <row r="5" spans="2:53" x14ac:dyDescent="0.35">
      <c r="D5" s="137"/>
      <c r="H5" s="152" t="str">
        <f>'Funding Plan'!G9</f>
        <v>Association</v>
      </c>
    </row>
    <row r="6" spans="2:53" s="141" customFormat="1" ht="28.5" customHeight="1" x14ac:dyDescent="0.35">
      <c r="B6" s="283" t="s">
        <v>0</v>
      </c>
      <c r="D6" s="153" t="s">
        <v>32</v>
      </c>
      <c r="E6" s="138"/>
      <c r="F6" s="142"/>
      <c r="J6" s="281" t="s">
        <v>22</v>
      </c>
      <c r="L6" s="285" t="s">
        <v>5</v>
      </c>
      <c r="M6" s="285"/>
      <c r="N6" s="285"/>
      <c r="P6" s="281" t="s">
        <v>21</v>
      </c>
      <c r="R6" s="286" t="s">
        <v>80</v>
      </c>
      <c r="T6" s="288" t="s">
        <v>81</v>
      </c>
      <c r="V6" s="281" t="s">
        <v>6</v>
      </c>
      <c r="W6" s="154"/>
      <c r="X6" s="142">
        <v>1</v>
      </c>
      <c r="Y6" s="142"/>
      <c r="Z6" s="142">
        <v>2</v>
      </c>
      <c r="AA6" s="142"/>
      <c r="AB6" s="142">
        <v>3</v>
      </c>
      <c r="AC6" s="142"/>
      <c r="AD6" s="142">
        <v>4</v>
      </c>
      <c r="AE6" s="142"/>
      <c r="AF6" s="142">
        <v>5</v>
      </c>
      <c r="AG6" s="142"/>
      <c r="AH6" s="142">
        <v>6</v>
      </c>
      <c r="AI6" s="142"/>
      <c r="AJ6" s="142">
        <v>7</v>
      </c>
      <c r="AK6" s="142"/>
      <c r="AL6" s="142">
        <v>8</v>
      </c>
      <c r="AM6" s="142"/>
      <c r="AN6" s="142">
        <v>9</v>
      </c>
      <c r="AO6" s="142"/>
      <c r="AP6" s="142">
        <v>10</v>
      </c>
      <c r="AQ6" s="142"/>
      <c r="AR6" s="142">
        <v>11</v>
      </c>
      <c r="AS6" s="142"/>
      <c r="AT6" s="142">
        <v>12</v>
      </c>
      <c r="AU6" s="142"/>
      <c r="AV6" s="142">
        <v>13</v>
      </c>
      <c r="AW6" s="142"/>
      <c r="AX6" s="142">
        <v>14</v>
      </c>
      <c r="AY6" s="142"/>
      <c r="AZ6" s="142">
        <v>15</v>
      </c>
      <c r="BA6" s="142"/>
    </row>
    <row r="7" spans="2:53" s="155" customFormat="1" ht="27.75" customHeight="1" x14ac:dyDescent="0.25">
      <c r="B7" s="284"/>
      <c r="D7" s="156" t="s">
        <v>30</v>
      </c>
      <c r="E7" s="157"/>
      <c r="F7" s="158" t="s">
        <v>1</v>
      </c>
      <c r="H7" s="158" t="s">
        <v>2</v>
      </c>
      <c r="J7" s="282"/>
      <c r="L7" s="158" t="s">
        <v>3</v>
      </c>
      <c r="N7" s="278" t="s">
        <v>4</v>
      </c>
      <c r="P7" s="282"/>
      <c r="R7" s="287"/>
      <c r="T7" s="289"/>
      <c r="V7" s="282"/>
      <c r="W7" s="154"/>
      <c r="X7" s="160">
        <v>2024</v>
      </c>
      <c r="Y7" s="158"/>
      <c r="Z7" s="158">
        <f t="shared" ref="Z7:AZ7" si="0">X7+1</f>
        <v>2025</v>
      </c>
      <c r="AA7" s="158">
        <f t="shared" si="0"/>
        <v>1</v>
      </c>
      <c r="AB7" s="158">
        <f t="shared" si="0"/>
        <v>2026</v>
      </c>
      <c r="AC7" s="158">
        <f t="shared" si="0"/>
        <v>2</v>
      </c>
      <c r="AD7" s="158">
        <f t="shared" si="0"/>
        <v>2027</v>
      </c>
      <c r="AE7" s="158">
        <f t="shared" si="0"/>
        <v>3</v>
      </c>
      <c r="AF7" s="158">
        <f t="shared" si="0"/>
        <v>2028</v>
      </c>
      <c r="AG7" s="158">
        <f t="shared" si="0"/>
        <v>4</v>
      </c>
      <c r="AH7" s="158">
        <f t="shared" si="0"/>
        <v>2029</v>
      </c>
      <c r="AI7" s="158">
        <f t="shared" si="0"/>
        <v>5</v>
      </c>
      <c r="AJ7" s="158">
        <f t="shared" si="0"/>
        <v>2030</v>
      </c>
      <c r="AK7" s="158">
        <f t="shared" si="0"/>
        <v>6</v>
      </c>
      <c r="AL7" s="158">
        <f t="shared" si="0"/>
        <v>2031</v>
      </c>
      <c r="AM7" s="158">
        <f t="shared" si="0"/>
        <v>7</v>
      </c>
      <c r="AN7" s="158">
        <f t="shared" si="0"/>
        <v>2032</v>
      </c>
      <c r="AO7" s="158">
        <f t="shared" si="0"/>
        <v>8</v>
      </c>
      <c r="AP7" s="158">
        <f t="shared" si="0"/>
        <v>2033</v>
      </c>
      <c r="AQ7" s="158">
        <f t="shared" si="0"/>
        <v>9</v>
      </c>
      <c r="AR7" s="158">
        <f t="shared" si="0"/>
        <v>2034</v>
      </c>
      <c r="AS7" s="158">
        <f t="shared" si="0"/>
        <v>10</v>
      </c>
      <c r="AT7" s="158">
        <f t="shared" si="0"/>
        <v>2035</v>
      </c>
      <c r="AU7" s="158">
        <f t="shared" si="0"/>
        <v>11</v>
      </c>
      <c r="AV7" s="158">
        <f t="shared" si="0"/>
        <v>2036</v>
      </c>
      <c r="AW7" s="158">
        <f t="shared" si="0"/>
        <v>12</v>
      </c>
      <c r="AX7" s="158">
        <f t="shared" si="0"/>
        <v>2037</v>
      </c>
      <c r="AY7" s="158">
        <f t="shared" si="0"/>
        <v>13</v>
      </c>
      <c r="AZ7" s="158">
        <f t="shared" si="0"/>
        <v>2038</v>
      </c>
    </row>
    <row r="8" spans="2:53" s="155" customFormat="1" ht="9.4" customHeight="1" x14ac:dyDescent="0.25">
      <c r="B8" s="154"/>
      <c r="D8" s="161"/>
      <c r="E8" s="157"/>
      <c r="F8" s="154"/>
      <c r="H8" s="154"/>
      <c r="J8" s="154"/>
      <c r="L8" s="154"/>
      <c r="N8" s="154"/>
      <c r="R8" s="162"/>
      <c r="T8" s="163"/>
      <c r="V8" s="154"/>
      <c r="W8" s="154"/>
    </row>
    <row r="9" spans="2:53" x14ac:dyDescent="0.35">
      <c r="D9" s="137"/>
      <c r="H9" s="164" t="s">
        <v>79</v>
      </c>
      <c r="P9" s="136"/>
      <c r="R9" s="139"/>
      <c r="T9" s="140"/>
      <c r="U9" s="136"/>
      <c r="V9" s="141"/>
      <c r="W9" s="141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</row>
    <row r="10" spans="2:53" ht="9.4" customHeight="1" x14ac:dyDescent="0.35">
      <c r="D10" s="137"/>
      <c r="H10" s="144"/>
      <c r="P10" s="136"/>
      <c r="R10" s="165"/>
      <c r="S10" s="135"/>
      <c r="T10" s="166"/>
      <c r="U10" s="135"/>
      <c r="V10" s="142"/>
      <c r="W10" s="141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</row>
    <row r="11" spans="2:53" x14ac:dyDescent="0.35">
      <c r="B11" s="168">
        <v>1</v>
      </c>
      <c r="C11" s="169"/>
      <c r="D11" s="170">
        <v>1</v>
      </c>
      <c r="E11" s="171"/>
      <c r="F11" s="168" t="s">
        <v>45</v>
      </c>
      <c r="G11" s="169"/>
      <c r="H11" s="169" t="s">
        <v>45</v>
      </c>
      <c r="I11" s="169"/>
      <c r="J11" s="168">
        <v>1</v>
      </c>
      <c r="K11" s="169">
        <v>23</v>
      </c>
      <c r="L11" s="168">
        <v>1</v>
      </c>
      <c r="M11" s="169"/>
      <c r="N11" s="241">
        <f>P11-O11</f>
        <v>-1999</v>
      </c>
      <c r="O11" s="237">
        <f>P4</f>
        <v>2023</v>
      </c>
      <c r="P11" s="234">
        <f>J11+K11</f>
        <v>24</v>
      </c>
      <c r="Q11" s="169"/>
      <c r="R11" s="172">
        <v>1</v>
      </c>
      <c r="S11" s="173"/>
      <c r="T11" s="174">
        <f>D11*R11</f>
        <v>1</v>
      </c>
      <c r="U11" s="174"/>
      <c r="V11" s="175">
        <f t="shared" ref="V11:V50" si="1">SUM(X11:AZ11)+SUM(J61:AL61)</f>
        <v>0</v>
      </c>
      <c r="W11" s="175"/>
      <c r="X11" s="174">
        <f>IF(X$6=$N11,FV($V$3,$N11-1,,-$T11,0),0)</f>
        <v>0</v>
      </c>
      <c r="Y11" s="175"/>
      <c r="Z11" s="174">
        <f t="shared" ref="Z11:Z50" si="2">IF(Z$6=$N11,FV($V$3,$N11-1,,-$T11,0),0)</f>
        <v>0</v>
      </c>
      <c r="AA11" s="175"/>
      <c r="AB11" s="174">
        <f t="shared" ref="AB11:AB50" si="3">IF(AB$6=$N11,FV($V$3,$N11-1,,-$T11,0),0)</f>
        <v>0</v>
      </c>
      <c r="AC11" s="175"/>
      <c r="AD11" s="174">
        <f t="shared" ref="AD11:AD50" si="4">IF(AD$6=$N11,FV($V$3,$N11-1,,-$T11,0),0)</f>
        <v>0</v>
      </c>
      <c r="AE11" s="175"/>
      <c r="AF11" s="174">
        <f t="shared" ref="AF11:AF50" si="5">IF(AF$6=$N11,FV($V$3,$N11-1,,-$T11,0),0)</f>
        <v>0</v>
      </c>
      <c r="AG11" s="175"/>
      <c r="AH11" s="174">
        <f t="shared" ref="AH11:AH50" si="6">IF(AH$6=$N11,FV($V$3,$N11-1,,-$T11,0),0)</f>
        <v>0</v>
      </c>
      <c r="AI11" s="175"/>
      <c r="AJ11" s="174">
        <f t="shared" ref="AJ11:AJ50" si="7">IF(AJ$6=$N11,FV($V$3,$N11-1,,-$T11,0),0)</f>
        <v>0</v>
      </c>
      <c r="AK11" s="175"/>
      <c r="AL11" s="174">
        <f t="shared" ref="AL11:AL50" si="8">IF(AL$6=$N11,FV($V$3,$N11-1,,-$T11,0),0)</f>
        <v>0</v>
      </c>
      <c r="AM11" s="175"/>
      <c r="AN11" s="174">
        <f t="shared" ref="AN11:AN50" si="9">IF(AN$6=$N11,FV($V$3,$N11-1,,-$T11,0),0)</f>
        <v>0</v>
      </c>
      <c r="AO11" s="175"/>
      <c r="AP11" s="174">
        <f t="shared" ref="AP11:AP50" si="10">IF(AP$6=$N11,FV($V$3,$N11-1,,-$T11,0),0)</f>
        <v>0</v>
      </c>
      <c r="AQ11" s="175"/>
      <c r="AR11" s="174">
        <f t="shared" ref="AR11:AR50" si="11">IF(AR$6=$N11,FV($V$3,$N11-1,,-$T11,0),0)</f>
        <v>0</v>
      </c>
      <c r="AS11" s="175"/>
      <c r="AT11" s="174">
        <f t="shared" ref="AT11:AT50" si="12">IF(AT$6=$N11,FV($V$3,$N11-1,,-$T11,0),0)</f>
        <v>0</v>
      </c>
      <c r="AU11" s="175"/>
      <c r="AV11" s="174">
        <f t="shared" ref="AV11:AV50" si="13">IF(AV$6=$N11,FV($V$3,$N11-1,,-$T11,0),0)</f>
        <v>0</v>
      </c>
      <c r="AW11" s="175"/>
      <c r="AX11" s="174">
        <f t="shared" ref="AX11:AX50" si="14">IF(AX$6=$N11,FV($V$3,$N11-1,,-$T11,0),0)</f>
        <v>0</v>
      </c>
      <c r="AY11" s="175"/>
      <c r="AZ11" s="174">
        <f t="shared" ref="AZ11:AZ50" si="15">IF(AZ$6=$N11,FV($V$3,$N11-1,,-$T11,0),0)</f>
        <v>0</v>
      </c>
    </row>
    <row r="12" spans="2:53" x14ac:dyDescent="0.35">
      <c r="B12" s="168">
        <f>+B11+1</f>
        <v>2</v>
      </c>
      <c r="C12" s="169"/>
      <c r="D12" s="170">
        <v>1</v>
      </c>
      <c r="E12" s="171"/>
      <c r="F12" s="168" t="str">
        <f>F11</f>
        <v>x</v>
      </c>
      <c r="G12" s="169"/>
      <c r="H12" s="169" t="s">
        <v>45</v>
      </c>
      <c r="I12" s="169"/>
      <c r="J12" s="168">
        <v>1</v>
      </c>
      <c r="K12" s="169">
        <v>23</v>
      </c>
      <c r="L12" s="168">
        <f>L11</f>
        <v>1</v>
      </c>
      <c r="M12" s="169"/>
      <c r="N12" s="241">
        <f t="shared" ref="N12:N50" si="16">P12-O12</f>
        <v>-1999</v>
      </c>
      <c r="O12" s="237">
        <f t="shared" ref="O12:O50" si="17">O11</f>
        <v>2023</v>
      </c>
      <c r="P12" s="234">
        <f t="shared" ref="P12:P50" si="18">J12+K12</f>
        <v>24</v>
      </c>
      <c r="Q12" s="169"/>
      <c r="R12" s="172">
        <f>R11</f>
        <v>1</v>
      </c>
      <c r="S12" s="173"/>
      <c r="T12" s="174">
        <f t="shared" ref="T12:T50" si="19">D12*R12</f>
        <v>1</v>
      </c>
      <c r="U12" s="174"/>
      <c r="V12" s="175">
        <f t="shared" si="1"/>
        <v>0</v>
      </c>
      <c r="W12" s="171"/>
      <c r="X12" s="174">
        <f t="shared" ref="X12:X50" si="20">IF(X$6=$N12,FV($V$3,$N12-1,,-$T12,0),0)</f>
        <v>0</v>
      </c>
      <c r="Y12" s="174"/>
      <c r="Z12" s="174">
        <f t="shared" si="2"/>
        <v>0</v>
      </c>
      <c r="AA12" s="174"/>
      <c r="AB12" s="174">
        <f t="shared" si="3"/>
        <v>0</v>
      </c>
      <c r="AC12" s="174"/>
      <c r="AD12" s="174">
        <f t="shared" si="4"/>
        <v>0</v>
      </c>
      <c r="AE12" s="174"/>
      <c r="AF12" s="174">
        <f t="shared" si="5"/>
        <v>0</v>
      </c>
      <c r="AG12" s="174"/>
      <c r="AH12" s="174">
        <f t="shared" si="6"/>
        <v>0</v>
      </c>
      <c r="AI12" s="174"/>
      <c r="AJ12" s="174">
        <f t="shared" si="7"/>
        <v>0</v>
      </c>
      <c r="AK12" s="174"/>
      <c r="AL12" s="174">
        <f t="shared" si="8"/>
        <v>0</v>
      </c>
      <c r="AM12" s="174"/>
      <c r="AN12" s="174">
        <f t="shared" si="9"/>
        <v>0</v>
      </c>
      <c r="AO12" s="174"/>
      <c r="AP12" s="174">
        <f t="shared" si="10"/>
        <v>0</v>
      </c>
      <c r="AQ12" s="174"/>
      <c r="AR12" s="174">
        <f t="shared" si="11"/>
        <v>0</v>
      </c>
      <c r="AS12" s="174"/>
      <c r="AT12" s="174">
        <f t="shared" si="12"/>
        <v>0</v>
      </c>
      <c r="AU12" s="174"/>
      <c r="AV12" s="174">
        <f t="shared" si="13"/>
        <v>0</v>
      </c>
      <c r="AW12" s="174"/>
      <c r="AX12" s="174">
        <f t="shared" si="14"/>
        <v>0</v>
      </c>
      <c r="AY12" s="174"/>
      <c r="AZ12" s="174">
        <f t="shared" si="15"/>
        <v>0</v>
      </c>
    </row>
    <row r="13" spans="2:53" x14ac:dyDescent="0.35">
      <c r="B13" s="168">
        <f>+B12+1</f>
        <v>3</v>
      </c>
      <c r="C13" s="169"/>
      <c r="D13" s="170">
        <v>1</v>
      </c>
      <c r="E13" s="171"/>
      <c r="F13" s="168" t="str">
        <f t="shared" ref="F13:F50" si="21">F12</f>
        <v>x</v>
      </c>
      <c r="G13" s="169"/>
      <c r="H13" s="169" t="s">
        <v>45</v>
      </c>
      <c r="I13" s="169"/>
      <c r="J13" s="168">
        <v>1</v>
      </c>
      <c r="K13" s="169">
        <v>23</v>
      </c>
      <c r="L13" s="168">
        <f t="shared" ref="L13:L50" si="22">L12</f>
        <v>1</v>
      </c>
      <c r="M13" s="169"/>
      <c r="N13" s="241">
        <f t="shared" si="16"/>
        <v>-1999</v>
      </c>
      <c r="O13" s="237">
        <f t="shared" si="17"/>
        <v>2023</v>
      </c>
      <c r="P13" s="234">
        <f t="shared" si="18"/>
        <v>24</v>
      </c>
      <c r="Q13" s="169"/>
      <c r="R13" s="172">
        <f t="shared" ref="R13:R50" si="23">R12</f>
        <v>1</v>
      </c>
      <c r="S13" s="173"/>
      <c r="T13" s="174">
        <f t="shared" si="19"/>
        <v>1</v>
      </c>
      <c r="U13" s="174"/>
      <c r="V13" s="175">
        <f t="shared" si="1"/>
        <v>0</v>
      </c>
      <c r="W13" s="171"/>
      <c r="X13" s="174">
        <f t="shared" si="20"/>
        <v>0</v>
      </c>
      <c r="Y13" s="174"/>
      <c r="Z13" s="174">
        <f t="shared" si="2"/>
        <v>0</v>
      </c>
      <c r="AA13" s="174"/>
      <c r="AB13" s="174">
        <f t="shared" si="3"/>
        <v>0</v>
      </c>
      <c r="AC13" s="174"/>
      <c r="AD13" s="174">
        <f t="shared" si="4"/>
        <v>0</v>
      </c>
      <c r="AE13" s="174"/>
      <c r="AF13" s="174">
        <f t="shared" si="5"/>
        <v>0</v>
      </c>
      <c r="AG13" s="174"/>
      <c r="AH13" s="174">
        <f t="shared" si="6"/>
        <v>0</v>
      </c>
      <c r="AI13" s="174"/>
      <c r="AJ13" s="174">
        <f t="shared" si="7"/>
        <v>0</v>
      </c>
      <c r="AK13" s="174"/>
      <c r="AL13" s="174">
        <f t="shared" si="8"/>
        <v>0</v>
      </c>
      <c r="AM13" s="174"/>
      <c r="AN13" s="174">
        <f t="shared" si="9"/>
        <v>0</v>
      </c>
      <c r="AO13" s="174"/>
      <c r="AP13" s="174">
        <f t="shared" si="10"/>
        <v>0</v>
      </c>
      <c r="AQ13" s="174"/>
      <c r="AR13" s="174">
        <f t="shared" si="11"/>
        <v>0</v>
      </c>
      <c r="AS13" s="174"/>
      <c r="AT13" s="174">
        <f t="shared" si="12"/>
        <v>0</v>
      </c>
      <c r="AU13" s="174"/>
      <c r="AV13" s="174">
        <f t="shared" si="13"/>
        <v>0</v>
      </c>
      <c r="AW13" s="174"/>
      <c r="AX13" s="174">
        <f t="shared" si="14"/>
        <v>0</v>
      </c>
      <c r="AY13" s="174"/>
      <c r="AZ13" s="174">
        <f t="shared" si="15"/>
        <v>0</v>
      </c>
    </row>
    <row r="14" spans="2:53" x14ac:dyDescent="0.35">
      <c r="B14" s="135">
        <f>+B13+1</f>
        <v>4</v>
      </c>
      <c r="D14" s="137">
        <v>1</v>
      </c>
      <c r="F14" s="135" t="str">
        <f t="shared" si="21"/>
        <v>x</v>
      </c>
      <c r="H14" s="136" t="s">
        <v>45</v>
      </c>
      <c r="J14" s="135">
        <v>1</v>
      </c>
      <c r="K14" s="136">
        <v>23</v>
      </c>
      <c r="L14" s="135">
        <f t="shared" si="22"/>
        <v>1</v>
      </c>
      <c r="N14" s="279">
        <f t="shared" si="16"/>
        <v>-1999</v>
      </c>
      <c r="O14" s="238">
        <f t="shared" si="17"/>
        <v>2023</v>
      </c>
      <c r="P14" s="280">
        <f t="shared" si="18"/>
        <v>24</v>
      </c>
      <c r="R14" s="176">
        <f t="shared" si="23"/>
        <v>1</v>
      </c>
      <c r="S14" s="177"/>
      <c r="T14" s="178">
        <f t="shared" si="19"/>
        <v>1</v>
      </c>
      <c r="U14" s="178"/>
      <c r="V14" s="179">
        <f t="shared" si="1"/>
        <v>0</v>
      </c>
      <c r="W14" s="138"/>
      <c r="X14" s="178">
        <f t="shared" si="20"/>
        <v>0</v>
      </c>
      <c r="Y14" s="178"/>
      <c r="Z14" s="178">
        <f t="shared" si="2"/>
        <v>0</v>
      </c>
      <c r="AA14" s="178"/>
      <c r="AB14" s="178">
        <f t="shared" si="3"/>
        <v>0</v>
      </c>
      <c r="AC14" s="178"/>
      <c r="AD14" s="178">
        <f t="shared" si="4"/>
        <v>0</v>
      </c>
      <c r="AE14" s="178"/>
      <c r="AF14" s="178">
        <f t="shared" si="5"/>
        <v>0</v>
      </c>
      <c r="AG14" s="178"/>
      <c r="AH14" s="178">
        <f t="shared" si="6"/>
        <v>0</v>
      </c>
      <c r="AI14" s="178"/>
      <c r="AJ14" s="178">
        <f t="shared" si="7"/>
        <v>0</v>
      </c>
      <c r="AK14" s="178"/>
      <c r="AL14" s="178">
        <f t="shared" si="8"/>
        <v>0</v>
      </c>
      <c r="AM14" s="178"/>
      <c r="AN14" s="178">
        <f t="shared" si="9"/>
        <v>0</v>
      </c>
      <c r="AO14" s="178"/>
      <c r="AP14" s="178">
        <f t="shared" si="10"/>
        <v>0</v>
      </c>
      <c r="AQ14" s="178"/>
      <c r="AR14" s="178">
        <f t="shared" si="11"/>
        <v>0</v>
      </c>
      <c r="AS14" s="178"/>
      <c r="AT14" s="178">
        <f t="shared" si="12"/>
        <v>0</v>
      </c>
      <c r="AU14" s="178"/>
      <c r="AV14" s="178">
        <f t="shared" si="13"/>
        <v>0</v>
      </c>
      <c r="AW14" s="178"/>
      <c r="AX14" s="178">
        <f t="shared" si="14"/>
        <v>0</v>
      </c>
      <c r="AY14" s="178"/>
      <c r="AZ14" s="178">
        <f t="shared" si="15"/>
        <v>0</v>
      </c>
    </row>
    <row r="15" spans="2:53" x14ac:dyDescent="0.35">
      <c r="B15" s="135">
        <f t="shared" ref="B15:B32" si="24">+B14+1</f>
        <v>5</v>
      </c>
      <c r="D15" s="137">
        <v>1</v>
      </c>
      <c r="F15" s="135" t="str">
        <f t="shared" si="21"/>
        <v>x</v>
      </c>
      <c r="H15" s="136" t="s">
        <v>45</v>
      </c>
      <c r="J15" s="135">
        <v>1</v>
      </c>
      <c r="K15" s="136">
        <v>23</v>
      </c>
      <c r="L15" s="135">
        <f t="shared" si="22"/>
        <v>1</v>
      </c>
      <c r="N15" s="279">
        <f t="shared" si="16"/>
        <v>-1999</v>
      </c>
      <c r="O15" s="238">
        <f t="shared" si="17"/>
        <v>2023</v>
      </c>
      <c r="P15" s="280">
        <f t="shared" si="18"/>
        <v>24</v>
      </c>
      <c r="R15" s="176">
        <f t="shared" si="23"/>
        <v>1</v>
      </c>
      <c r="S15" s="177"/>
      <c r="T15" s="178">
        <f t="shared" si="19"/>
        <v>1</v>
      </c>
      <c r="U15" s="178"/>
      <c r="V15" s="179">
        <f t="shared" si="1"/>
        <v>0</v>
      </c>
      <c r="W15" s="138"/>
      <c r="X15" s="178">
        <f t="shared" si="20"/>
        <v>0</v>
      </c>
      <c r="Y15" s="178"/>
      <c r="Z15" s="178">
        <f t="shared" si="2"/>
        <v>0</v>
      </c>
      <c r="AA15" s="178"/>
      <c r="AB15" s="178">
        <f t="shared" si="3"/>
        <v>0</v>
      </c>
      <c r="AC15" s="178"/>
      <c r="AD15" s="178">
        <f t="shared" si="4"/>
        <v>0</v>
      </c>
      <c r="AE15" s="178"/>
      <c r="AF15" s="178">
        <f t="shared" si="5"/>
        <v>0</v>
      </c>
      <c r="AG15" s="178"/>
      <c r="AH15" s="178">
        <f t="shared" si="6"/>
        <v>0</v>
      </c>
      <c r="AI15" s="178"/>
      <c r="AJ15" s="178">
        <f t="shared" si="7"/>
        <v>0</v>
      </c>
      <c r="AK15" s="178"/>
      <c r="AL15" s="178">
        <f t="shared" si="8"/>
        <v>0</v>
      </c>
      <c r="AM15" s="178"/>
      <c r="AN15" s="178">
        <f t="shared" si="9"/>
        <v>0</v>
      </c>
      <c r="AO15" s="178"/>
      <c r="AP15" s="178">
        <f t="shared" si="10"/>
        <v>0</v>
      </c>
      <c r="AQ15" s="178"/>
      <c r="AR15" s="178">
        <f t="shared" si="11"/>
        <v>0</v>
      </c>
      <c r="AS15" s="178"/>
      <c r="AT15" s="178">
        <f t="shared" si="12"/>
        <v>0</v>
      </c>
      <c r="AU15" s="178"/>
      <c r="AV15" s="178">
        <f t="shared" si="13"/>
        <v>0</v>
      </c>
      <c r="AW15" s="178"/>
      <c r="AX15" s="178">
        <f t="shared" si="14"/>
        <v>0</v>
      </c>
      <c r="AY15" s="178"/>
      <c r="AZ15" s="178">
        <f t="shared" si="15"/>
        <v>0</v>
      </c>
    </row>
    <row r="16" spans="2:53" x14ac:dyDescent="0.35">
      <c r="B16" s="135">
        <f t="shared" si="24"/>
        <v>6</v>
      </c>
      <c r="D16" s="137">
        <v>1</v>
      </c>
      <c r="F16" s="135" t="str">
        <f t="shared" si="21"/>
        <v>x</v>
      </c>
      <c r="H16" s="136" t="s">
        <v>45</v>
      </c>
      <c r="J16" s="135">
        <v>1</v>
      </c>
      <c r="K16" s="136">
        <v>23</v>
      </c>
      <c r="L16" s="135">
        <f t="shared" si="22"/>
        <v>1</v>
      </c>
      <c r="N16" s="279">
        <f t="shared" si="16"/>
        <v>-1999</v>
      </c>
      <c r="O16" s="238">
        <f t="shared" si="17"/>
        <v>2023</v>
      </c>
      <c r="P16" s="280">
        <f t="shared" si="18"/>
        <v>24</v>
      </c>
      <c r="R16" s="176">
        <f t="shared" si="23"/>
        <v>1</v>
      </c>
      <c r="S16" s="177"/>
      <c r="T16" s="178">
        <f t="shared" si="19"/>
        <v>1</v>
      </c>
      <c r="U16" s="178"/>
      <c r="V16" s="179">
        <f t="shared" si="1"/>
        <v>0</v>
      </c>
      <c r="W16" s="138"/>
      <c r="X16" s="178">
        <f t="shared" si="20"/>
        <v>0</v>
      </c>
      <c r="Y16" s="178"/>
      <c r="Z16" s="178">
        <f t="shared" si="2"/>
        <v>0</v>
      </c>
      <c r="AA16" s="178"/>
      <c r="AB16" s="178">
        <f t="shared" si="3"/>
        <v>0</v>
      </c>
      <c r="AC16" s="178"/>
      <c r="AD16" s="178">
        <f t="shared" si="4"/>
        <v>0</v>
      </c>
      <c r="AE16" s="178"/>
      <c r="AF16" s="178">
        <f t="shared" si="5"/>
        <v>0</v>
      </c>
      <c r="AG16" s="178"/>
      <c r="AH16" s="178">
        <f t="shared" si="6"/>
        <v>0</v>
      </c>
      <c r="AI16" s="178"/>
      <c r="AJ16" s="178">
        <f t="shared" si="7"/>
        <v>0</v>
      </c>
      <c r="AK16" s="178"/>
      <c r="AL16" s="178">
        <f t="shared" si="8"/>
        <v>0</v>
      </c>
      <c r="AM16" s="178"/>
      <c r="AN16" s="178">
        <f t="shared" si="9"/>
        <v>0</v>
      </c>
      <c r="AO16" s="178"/>
      <c r="AP16" s="178">
        <f t="shared" si="10"/>
        <v>0</v>
      </c>
      <c r="AQ16" s="178"/>
      <c r="AR16" s="178">
        <f t="shared" si="11"/>
        <v>0</v>
      </c>
      <c r="AS16" s="178"/>
      <c r="AT16" s="178">
        <f t="shared" si="12"/>
        <v>0</v>
      </c>
      <c r="AU16" s="178"/>
      <c r="AV16" s="178">
        <f t="shared" si="13"/>
        <v>0</v>
      </c>
      <c r="AW16" s="178"/>
      <c r="AX16" s="178">
        <f t="shared" si="14"/>
        <v>0</v>
      </c>
      <c r="AY16" s="178"/>
      <c r="AZ16" s="178">
        <f t="shared" si="15"/>
        <v>0</v>
      </c>
    </row>
    <row r="17" spans="2:53" x14ac:dyDescent="0.35">
      <c r="B17" s="168">
        <f t="shared" si="24"/>
        <v>7</v>
      </c>
      <c r="C17" s="169"/>
      <c r="D17" s="170">
        <v>1</v>
      </c>
      <c r="E17" s="171"/>
      <c r="F17" s="168" t="str">
        <f t="shared" si="21"/>
        <v>x</v>
      </c>
      <c r="G17" s="170"/>
      <c r="H17" s="169" t="s">
        <v>45</v>
      </c>
      <c r="I17" s="169"/>
      <c r="J17" s="168">
        <v>1</v>
      </c>
      <c r="K17" s="169">
        <v>23</v>
      </c>
      <c r="L17" s="168">
        <f t="shared" si="22"/>
        <v>1</v>
      </c>
      <c r="M17" s="169"/>
      <c r="N17" s="241">
        <f t="shared" si="16"/>
        <v>-1999</v>
      </c>
      <c r="O17" s="237">
        <f t="shared" si="17"/>
        <v>2023</v>
      </c>
      <c r="P17" s="234">
        <f t="shared" si="18"/>
        <v>24</v>
      </c>
      <c r="Q17" s="169"/>
      <c r="R17" s="172">
        <f t="shared" si="23"/>
        <v>1</v>
      </c>
      <c r="S17" s="173"/>
      <c r="T17" s="174">
        <f t="shared" si="19"/>
        <v>1</v>
      </c>
      <c r="U17" s="174"/>
      <c r="V17" s="175">
        <f t="shared" si="1"/>
        <v>0</v>
      </c>
      <c r="W17" s="171"/>
      <c r="X17" s="174">
        <f t="shared" si="20"/>
        <v>0</v>
      </c>
      <c r="Y17" s="174"/>
      <c r="Z17" s="174">
        <f t="shared" si="2"/>
        <v>0</v>
      </c>
      <c r="AA17" s="174"/>
      <c r="AB17" s="174">
        <f t="shared" si="3"/>
        <v>0</v>
      </c>
      <c r="AC17" s="174"/>
      <c r="AD17" s="174">
        <f t="shared" si="4"/>
        <v>0</v>
      </c>
      <c r="AE17" s="174"/>
      <c r="AF17" s="174">
        <f t="shared" si="5"/>
        <v>0</v>
      </c>
      <c r="AG17" s="174"/>
      <c r="AH17" s="174">
        <f t="shared" si="6"/>
        <v>0</v>
      </c>
      <c r="AI17" s="174"/>
      <c r="AJ17" s="174">
        <f t="shared" si="7"/>
        <v>0</v>
      </c>
      <c r="AK17" s="174"/>
      <c r="AL17" s="174">
        <f t="shared" si="8"/>
        <v>0</v>
      </c>
      <c r="AM17" s="174"/>
      <c r="AN17" s="174">
        <f t="shared" si="9"/>
        <v>0</v>
      </c>
      <c r="AO17" s="174"/>
      <c r="AP17" s="174">
        <f t="shared" si="10"/>
        <v>0</v>
      </c>
      <c r="AQ17" s="174"/>
      <c r="AR17" s="174">
        <f t="shared" si="11"/>
        <v>0</v>
      </c>
      <c r="AS17" s="174"/>
      <c r="AT17" s="174">
        <f t="shared" si="12"/>
        <v>0</v>
      </c>
      <c r="AU17" s="174"/>
      <c r="AV17" s="174">
        <f t="shared" si="13"/>
        <v>0</v>
      </c>
      <c r="AW17" s="174"/>
      <c r="AX17" s="174">
        <f t="shared" si="14"/>
        <v>0</v>
      </c>
      <c r="AY17" s="174"/>
      <c r="AZ17" s="174">
        <f t="shared" si="15"/>
        <v>0</v>
      </c>
    </row>
    <row r="18" spans="2:53" x14ac:dyDescent="0.35">
      <c r="B18" s="168">
        <f t="shared" si="24"/>
        <v>8</v>
      </c>
      <c r="C18" s="169"/>
      <c r="D18" s="170">
        <v>1</v>
      </c>
      <c r="E18" s="171"/>
      <c r="F18" s="168" t="str">
        <f t="shared" si="21"/>
        <v>x</v>
      </c>
      <c r="G18" s="169"/>
      <c r="H18" s="169" t="s">
        <v>45</v>
      </c>
      <c r="I18" s="169"/>
      <c r="J18" s="168">
        <v>1</v>
      </c>
      <c r="K18" s="169">
        <v>23</v>
      </c>
      <c r="L18" s="168">
        <f t="shared" si="22"/>
        <v>1</v>
      </c>
      <c r="M18" s="169"/>
      <c r="N18" s="241">
        <f t="shared" si="16"/>
        <v>-1999</v>
      </c>
      <c r="O18" s="237">
        <f t="shared" si="17"/>
        <v>2023</v>
      </c>
      <c r="P18" s="234">
        <f t="shared" si="18"/>
        <v>24</v>
      </c>
      <c r="Q18" s="169"/>
      <c r="R18" s="172">
        <f t="shared" si="23"/>
        <v>1</v>
      </c>
      <c r="S18" s="173"/>
      <c r="T18" s="174">
        <f t="shared" si="19"/>
        <v>1</v>
      </c>
      <c r="U18" s="174"/>
      <c r="V18" s="175">
        <f t="shared" si="1"/>
        <v>0</v>
      </c>
      <c r="W18" s="171"/>
      <c r="X18" s="174">
        <f t="shared" si="20"/>
        <v>0</v>
      </c>
      <c r="Y18" s="174"/>
      <c r="Z18" s="174">
        <f t="shared" si="2"/>
        <v>0</v>
      </c>
      <c r="AA18" s="174"/>
      <c r="AB18" s="174">
        <f t="shared" si="3"/>
        <v>0</v>
      </c>
      <c r="AC18" s="174"/>
      <c r="AD18" s="174">
        <f t="shared" si="4"/>
        <v>0</v>
      </c>
      <c r="AE18" s="174"/>
      <c r="AF18" s="174">
        <f t="shared" si="5"/>
        <v>0</v>
      </c>
      <c r="AG18" s="174"/>
      <c r="AH18" s="174">
        <f t="shared" si="6"/>
        <v>0</v>
      </c>
      <c r="AI18" s="174"/>
      <c r="AJ18" s="174">
        <f t="shared" si="7"/>
        <v>0</v>
      </c>
      <c r="AK18" s="174"/>
      <c r="AL18" s="174">
        <f t="shared" si="8"/>
        <v>0</v>
      </c>
      <c r="AM18" s="174"/>
      <c r="AN18" s="174">
        <f t="shared" si="9"/>
        <v>0</v>
      </c>
      <c r="AO18" s="174"/>
      <c r="AP18" s="174">
        <f t="shared" si="10"/>
        <v>0</v>
      </c>
      <c r="AQ18" s="174"/>
      <c r="AR18" s="174">
        <f t="shared" si="11"/>
        <v>0</v>
      </c>
      <c r="AS18" s="174"/>
      <c r="AT18" s="174">
        <f t="shared" si="12"/>
        <v>0</v>
      </c>
      <c r="AU18" s="174"/>
      <c r="AV18" s="174">
        <f t="shared" si="13"/>
        <v>0</v>
      </c>
      <c r="AW18" s="174"/>
      <c r="AX18" s="174">
        <f t="shared" si="14"/>
        <v>0</v>
      </c>
      <c r="AY18" s="174"/>
      <c r="AZ18" s="174">
        <f t="shared" si="15"/>
        <v>0</v>
      </c>
    </row>
    <row r="19" spans="2:53" x14ac:dyDescent="0.35">
      <c r="B19" s="168">
        <f t="shared" si="24"/>
        <v>9</v>
      </c>
      <c r="C19" s="169"/>
      <c r="D19" s="170">
        <v>1</v>
      </c>
      <c r="E19" s="171"/>
      <c r="F19" s="168" t="str">
        <f t="shared" si="21"/>
        <v>x</v>
      </c>
      <c r="G19" s="169"/>
      <c r="H19" s="169" t="s">
        <v>45</v>
      </c>
      <c r="I19" s="169"/>
      <c r="J19" s="168">
        <v>1</v>
      </c>
      <c r="K19" s="169">
        <v>23</v>
      </c>
      <c r="L19" s="168">
        <f t="shared" si="22"/>
        <v>1</v>
      </c>
      <c r="M19" s="169"/>
      <c r="N19" s="241">
        <f t="shared" si="16"/>
        <v>-1999</v>
      </c>
      <c r="O19" s="237">
        <f t="shared" si="17"/>
        <v>2023</v>
      </c>
      <c r="P19" s="234">
        <f t="shared" si="18"/>
        <v>24</v>
      </c>
      <c r="Q19" s="169"/>
      <c r="R19" s="172">
        <f t="shared" si="23"/>
        <v>1</v>
      </c>
      <c r="S19" s="173"/>
      <c r="T19" s="174">
        <f t="shared" si="19"/>
        <v>1</v>
      </c>
      <c r="U19" s="174"/>
      <c r="V19" s="175">
        <f t="shared" si="1"/>
        <v>0</v>
      </c>
      <c r="W19" s="171"/>
      <c r="X19" s="174">
        <f t="shared" si="20"/>
        <v>0</v>
      </c>
      <c r="Y19" s="174"/>
      <c r="Z19" s="174">
        <f t="shared" si="2"/>
        <v>0</v>
      </c>
      <c r="AA19" s="174"/>
      <c r="AB19" s="174">
        <f t="shared" si="3"/>
        <v>0</v>
      </c>
      <c r="AC19" s="174"/>
      <c r="AD19" s="174">
        <f t="shared" si="4"/>
        <v>0</v>
      </c>
      <c r="AE19" s="174"/>
      <c r="AF19" s="174">
        <f t="shared" si="5"/>
        <v>0</v>
      </c>
      <c r="AG19" s="174"/>
      <c r="AH19" s="174">
        <f t="shared" si="6"/>
        <v>0</v>
      </c>
      <c r="AI19" s="174"/>
      <c r="AJ19" s="174">
        <f t="shared" si="7"/>
        <v>0</v>
      </c>
      <c r="AK19" s="174"/>
      <c r="AL19" s="174">
        <f t="shared" si="8"/>
        <v>0</v>
      </c>
      <c r="AM19" s="174"/>
      <c r="AN19" s="174">
        <f t="shared" si="9"/>
        <v>0</v>
      </c>
      <c r="AO19" s="174"/>
      <c r="AP19" s="174">
        <f t="shared" si="10"/>
        <v>0</v>
      </c>
      <c r="AQ19" s="174"/>
      <c r="AR19" s="174">
        <f t="shared" si="11"/>
        <v>0</v>
      </c>
      <c r="AS19" s="174"/>
      <c r="AT19" s="174">
        <f t="shared" si="12"/>
        <v>0</v>
      </c>
      <c r="AU19" s="174"/>
      <c r="AV19" s="174">
        <f t="shared" si="13"/>
        <v>0</v>
      </c>
      <c r="AW19" s="174"/>
      <c r="AX19" s="174">
        <f t="shared" si="14"/>
        <v>0</v>
      </c>
      <c r="AY19" s="174"/>
      <c r="AZ19" s="174">
        <f t="shared" si="15"/>
        <v>0</v>
      </c>
    </row>
    <row r="20" spans="2:53" s="181" customFormat="1" x14ac:dyDescent="0.35">
      <c r="B20" s="180">
        <f t="shared" si="24"/>
        <v>10</v>
      </c>
      <c r="D20" s="182">
        <v>1</v>
      </c>
      <c r="E20" s="183"/>
      <c r="F20" s="135" t="str">
        <f t="shared" si="21"/>
        <v>x</v>
      </c>
      <c r="H20" s="181" t="s">
        <v>45</v>
      </c>
      <c r="J20" s="180">
        <v>1</v>
      </c>
      <c r="K20" s="136">
        <v>23</v>
      </c>
      <c r="L20" s="135">
        <f t="shared" si="22"/>
        <v>1</v>
      </c>
      <c r="M20" s="136"/>
      <c r="N20" s="279">
        <f t="shared" si="16"/>
        <v>-1999</v>
      </c>
      <c r="O20" s="238">
        <f t="shared" si="17"/>
        <v>2023</v>
      </c>
      <c r="P20" s="280">
        <f t="shared" si="18"/>
        <v>24</v>
      </c>
      <c r="Q20" s="136"/>
      <c r="R20" s="176">
        <f t="shared" si="23"/>
        <v>1</v>
      </c>
      <c r="S20" s="184"/>
      <c r="T20" s="185">
        <f t="shared" si="19"/>
        <v>1</v>
      </c>
      <c r="U20" s="185"/>
      <c r="V20" s="186">
        <f t="shared" si="1"/>
        <v>0</v>
      </c>
      <c r="W20" s="183"/>
      <c r="X20" s="185">
        <f t="shared" si="20"/>
        <v>0</v>
      </c>
      <c r="Y20" s="185"/>
      <c r="Z20" s="185">
        <f t="shared" si="2"/>
        <v>0</v>
      </c>
      <c r="AA20" s="185"/>
      <c r="AB20" s="185">
        <f t="shared" si="3"/>
        <v>0</v>
      </c>
      <c r="AC20" s="185"/>
      <c r="AD20" s="185">
        <f t="shared" si="4"/>
        <v>0</v>
      </c>
      <c r="AE20" s="185"/>
      <c r="AF20" s="185">
        <f t="shared" si="5"/>
        <v>0</v>
      </c>
      <c r="AG20" s="185"/>
      <c r="AH20" s="185">
        <f t="shared" si="6"/>
        <v>0</v>
      </c>
      <c r="AI20" s="185"/>
      <c r="AJ20" s="185">
        <f t="shared" si="7"/>
        <v>0</v>
      </c>
      <c r="AK20" s="185"/>
      <c r="AL20" s="185">
        <f t="shared" si="8"/>
        <v>0</v>
      </c>
      <c r="AM20" s="185"/>
      <c r="AN20" s="185">
        <f t="shared" si="9"/>
        <v>0</v>
      </c>
      <c r="AO20" s="185"/>
      <c r="AP20" s="185">
        <f t="shared" si="10"/>
        <v>0</v>
      </c>
      <c r="AQ20" s="185"/>
      <c r="AR20" s="185">
        <f t="shared" si="11"/>
        <v>0</v>
      </c>
      <c r="AS20" s="185"/>
      <c r="AT20" s="185">
        <f t="shared" si="12"/>
        <v>0</v>
      </c>
      <c r="AU20" s="185"/>
      <c r="AV20" s="185">
        <f t="shared" si="13"/>
        <v>0</v>
      </c>
      <c r="AW20" s="185"/>
      <c r="AX20" s="185">
        <f t="shared" si="14"/>
        <v>0</v>
      </c>
      <c r="AY20" s="185"/>
      <c r="AZ20" s="185">
        <f t="shared" si="15"/>
        <v>0</v>
      </c>
    </row>
    <row r="21" spans="2:53" s="181" customFormat="1" x14ac:dyDescent="0.35">
      <c r="B21" s="180">
        <f t="shared" si="24"/>
        <v>11</v>
      </c>
      <c r="D21" s="182">
        <v>1</v>
      </c>
      <c r="E21" s="183"/>
      <c r="F21" s="135" t="str">
        <f t="shared" si="21"/>
        <v>x</v>
      </c>
      <c r="H21" s="181" t="s">
        <v>45</v>
      </c>
      <c r="J21" s="180">
        <v>1</v>
      </c>
      <c r="K21" s="136">
        <v>23</v>
      </c>
      <c r="L21" s="135">
        <f t="shared" si="22"/>
        <v>1</v>
      </c>
      <c r="M21" s="136"/>
      <c r="N21" s="279">
        <f t="shared" si="16"/>
        <v>-1999</v>
      </c>
      <c r="O21" s="238">
        <f t="shared" si="17"/>
        <v>2023</v>
      </c>
      <c r="P21" s="280">
        <f t="shared" si="18"/>
        <v>24</v>
      </c>
      <c r="Q21" s="136"/>
      <c r="R21" s="176">
        <f t="shared" si="23"/>
        <v>1</v>
      </c>
      <c r="S21" s="184"/>
      <c r="T21" s="185">
        <f t="shared" si="19"/>
        <v>1</v>
      </c>
      <c r="U21" s="185"/>
      <c r="V21" s="186">
        <f t="shared" si="1"/>
        <v>0</v>
      </c>
      <c r="W21" s="183"/>
      <c r="X21" s="185">
        <f t="shared" si="20"/>
        <v>0</v>
      </c>
      <c r="Y21" s="185"/>
      <c r="Z21" s="185">
        <f t="shared" si="2"/>
        <v>0</v>
      </c>
      <c r="AA21" s="185"/>
      <c r="AB21" s="185">
        <f t="shared" si="3"/>
        <v>0</v>
      </c>
      <c r="AC21" s="185"/>
      <c r="AD21" s="185">
        <f t="shared" si="4"/>
        <v>0</v>
      </c>
      <c r="AE21" s="185"/>
      <c r="AF21" s="185">
        <f t="shared" si="5"/>
        <v>0</v>
      </c>
      <c r="AG21" s="185"/>
      <c r="AH21" s="185">
        <f t="shared" si="6"/>
        <v>0</v>
      </c>
      <c r="AI21" s="185"/>
      <c r="AJ21" s="185">
        <f t="shared" si="7"/>
        <v>0</v>
      </c>
      <c r="AK21" s="185"/>
      <c r="AL21" s="185">
        <f t="shared" si="8"/>
        <v>0</v>
      </c>
      <c r="AM21" s="185"/>
      <c r="AN21" s="185">
        <f t="shared" si="9"/>
        <v>0</v>
      </c>
      <c r="AO21" s="185"/>
      <c r="AP21" s="185">
        <f t="shared" si="10"/>
        <v>0</v>
      </c>
      <c r="AQ21" s="185"/>
      <c r="AR21" s="185">
        <f t="shared" si="11"/>
        <v>0</v>
      </c>
      <c r="AS21" s="185"/>
      <c r="AT21" s="185">
        <f t="shared" si="12"/>
        <v>0</v>
      </c>
      <c r="AU21" s="185"/>
      <c r="AV21" s="185">
        <f t="shared" si="13"/>
        <v>0</v>
      </c>
      <c r="AW21" s="185"/>
      <c r="AX21" s="185">
        <f t="shared" si="14"/>
        <v>0</v>
      </c>
      <c r="AY21" s="185"/>
      <c r="AZ21" s="185">
        <f t="shared" si="15"/>
        <v>0</v>
      </c>
    </row>
    <row r="22" spans="2:53" s="181" customFormat="1" x14ac:dyDescent="0.35">
      <c r="B22" s="180">
        <f t="shared" si="24"/>
        <v>12</v>
      </c>
      <c r="D22" s="182">
        <v>1</v>
      </c>
      <c r="E22" s="183"/>
      <c r="F22" s="135" t="str">
        <f t="shared" si="21"/>
        <v>x</v>
      </c>
      <c r="H22" s="181" t="s">
        <v>45</v>
      </c>
      <c r="J22" s="180">
        <v>1</v>
      </c>
      <c r="K22" s="136">
        <v>23</v>
      </c>
      <c r="L22" s="135">
        <f t="shared" si="22"/>
        <v>1</v>
      </c>
      <c r="M22" s="136"/>
      <c r="N22" s="279">
        <f t="shared" si="16"/>
        <v>-1999</v>
      </c>
      <c r="O22" s="238">
        <f t="shared" si="17"/>
        <v>2023</v>
      </c>
      <c r="P22" s="280">
        <f t="shared" si="18"/>
        <v>24</v>
      </c>
      <c r="Q22" s="136"/>
      <c r="R22" s="176">
        <f t="shared" si="23"/>
        <v>1</v>
      </c>
      <c r="S22" s="184"/>
      <c r="T22" s="185">
        <f t="shared" si="19"/>
        <v>1</v>
      </c>
      <c r="U22" s="185"/>
      <c r="V22" s="186">
        <f t="shared" si="1"/>
        <v>0</v>
      </c>
      <c r="W22" s="183"/>
      <c r="X22" s="185">
        <f t="shared" si="20"/>
        <v>0</v>
      </c>
      <c r="Y22" s="185"/>
      <c r="Z22" s="185">
        <f t="shared" si="2"/>
        <v>0</v>
      </c>
      <c r="AA22" s="185"/>
      <c r="AB22" s="185">
        <f t="shared" si="3"/>
        <v>0</v>
      </c>
      <c r="AC22" s="185"/>
      <c r="AD22" s="185">
        <f t="shared" si="4"/>
        <v>0</v>
      </c>
      <c r="AE22" s="185"/>
      <c r="AF22" s="185">
        <f t="shared" si="5"/>
        <v>0</v>
      </c>
      <c r="AG22" s="185"/>
      <c r="AH22" s="185">
        <f t="shared" si="6"/>
        <v>0</v>
      </c>
      <c r="AI22" s="185"/>
      <c r="AJ22" s="185">
        <f t="shared" si="7"/>
        <v>0</v>
      </c>
      <c r="AK22" s="185"/>
      <c r="AL22" s="185">
        <f t="shared" si="8"/>
        <v>0</v>
      </c>
      <c r="AM22" s="185"/>
      <c r="AN22" s="185">
        <f t="shared" si="9"/>
        <v>0</v>
      </c>
      <c r="AO22" s="185"/>
      <c r="AP22" s="185">
        <f t="shared" si="10"/>
        <v>0</v>
      </c>
      <c r="AQ22" s="185"/>
      <c r="AR22" s="185">
        <f t="shared" si="11"/>
        <v>0</v>
      </c>
      <c r="AS22" s="185"/>
      <c r="AT22" s="185">
        <f t="shared" si="12"/>
        <v>0</v>
      </c>
      <c r="AU22" s="185"/>
      <c r="AV22" s="185">
        <f t="shared" si="13"/>
        <v>0</v>
      </c>
      <c r="AW22" s="185"/>
      <c r="AX22" s="185">
        <f t="shared" si="14"/>
        <v>0</v>
      </c>
      <c r="AY22" s="185"/>
      <c r="AZ22" s="185">
        <f t="shared" si="15"/>
        <v>0</v>
      </c>
    </row>
    <row r="23" spans="2:53" s="181" customFormat="1" x14ac:dyDescent="0.35">
      <c r="B23" s="168">
        <f t="shared" si="24"/>
        <v>13</v>
      </c>
      <c r="C23" s="169"/>
      <c r="D23" s="170">
        <v>1</v>
      </c>
      <c r="E23" s="171"/>
      <c r="F23" s="168" t="str">
        <f t="shared" si="21"/>
        <v>x</v>
      </c>
      <c r="G23" s="169"/>
      <c r="H23" s="169" t="s">
        <v>45</v>
      </c>
      <c r="I23" s="169"/>
      <c r="J23" s="168">
        <v>1</v>
      </c>
      <c r="K23" s="169">
        <v>23</v>
      </c>
      <c r="L23" s="168">
        <f t="shared" si="22"/>
        <v>1</v>
      </c>
      <c r="M23" s="169"/>
      <c r="N23" s="241">
        <f t="shared" si="16"/>
        <v>-1999</v>
      </c>
      <c r="O23" s="237">
        <f t="shared" si="17"/>
        <v>2023</v>
      </c>
      <c r="P23" s="234">
        <f t="shared" si="18"/>
        <v>24</v>
      </c>
      <c r="Q23" s="169"/>
      <c r="R23" s="172">
        <f t="shared" si="23"/>
        <v>1</v>
      </c>
      <c r="S23" s="173"/>
      <c r="T23" s="174">
        <f t="shared" si="19"/>
        <v>1</v>
      </c>
      <c r="U23" s="174"/>
      <c r="V23" s="175">
        <f t="shared" si="1"/>
        <v>0</v>
      </c>
      <c r="W23" s="171"/>
      <c r="X23" s="174">
        <f t="shared" si="20"/>
        <v>0</v>
      </c>
      <c r="Y23" s="174"/>
      <c r="Z23" s="174">
        <f t="shared" si="2"/>
        <v>0</v>
      </c>
      <c r="AA23" s="174"/>
      <c r="AB23" s="174">
        <f t="shared" si="3"/>
        <v>0</v>
      </c>
      <c r="AC23" s="174"/>
      <c r="AD23" s="174">
        <f t="shared" si="4"/>
        <v>0</v>
      </c>
      <c r="AE23" s="174"/>
      <c r="AF23" s="174">
        <f t="shared" si="5"/>
        <v>0</v>
      </c>
      <c r="AG23" s="174"/>
      <c r="AH23" s="174">
        <f t="shared" si="6"/>
        <v>0</v>
      </c>
      <c r="AI23" s="174"/>
      <c r="AJ23" s="174">
        <f t="shared" si="7"/>
        <v>0</v>
      </c>
      <c r="AK23" s="174"/>
      <c r="AL23" s="174">
        <f t="shared" si="8"/>
        <v>0</v>
      </c>
      <c r="AM23" s="174"/>
      <c r="AN23" s="174">
        <f t="shared" si="9"/>
        <v>0</v>
      </c>
      <c r="AO23" s="174"/>
      <c r="AP23" s="174">
        <f t="shared" si="10"/>
        <v>0</v>
      </c>
      <c r="AQ23" s="174"/>
      <c r="AR23" s="174">
        <f t="shared" si="11"/>
        <v>0</v>
      </c>
      <c r="AS23" s="174"/>
      <c r="AT23" s="174">
        <f t="shared" si="12"/>
        <v>0</v>
      </c>
      <c r="AU23" s="174"/>
      <c r="AV23" s="174">
        <f t="shared" si="13"/>
        <v>0</v>
      </c>
      <c r="AW23" s="174"/>
      <c r="AX23" s="174">
        <f t="shared" si="14"/>
        <v>0</v>
      </c>
      <c r="AY23" s="174"/>
      <c r="AZ23" s="174">
        <f t="shared" si="15"/>
        <v>0</v>
      </c>
    </row>
    <row r="24" spans="2:53" s="181" customFormat="1" x14ac:dyDescent="0.35">
      <c r="B24" s="168">
        <f t="shared" si="24"/>
        <v>14</v>
      </c>
      <c r="C24" s="169"/>
      <c r="D24" s="170">
        <v>1</v>
      </c>
      <c r="E24" s="171"/>
      <c r="F24" s="168" t="str">
        <f t="shared" si="21"/>
        <v>x</v>
      </c>
      <c r="G24" s="169"/>
      <c r="H24" s="169" t="s">
        <v>45</v>
      </c>
      <c r="I24" s="169"/>
      <c r="J24" s="168">
        <v>1</v>
      </c>
      <c r="K24" s="169">
        <v>23</v>
      </c>
      <c r="L24" s="168">
        <f t="shared" si="22"/>
        <v>1</v>
      </c>
      <c r="M24" s="169"/>
      <c r="N24" s="241">
        <f t="shared" si="16"/>
        <v>-1999</v>
      </c>
      <c r="O24" s="237">
        <f t="shared" si="17"/>
        <v>2023</v>
      </c>
      <c r="P24" s="234">
        <f t="shared" si="18"/>
        <v>24</v>
      </c>
      <c r="Q24" s="169"/>
      <c r="R24" s="172">
        <f t="shared" si="23"/>
        <v>1</v>
      </c>
      <c r="S24" s="173"/>
      <c r="T24" s="174">
        <f t="shared" si="19"/>
        <v>1</v>
      </c>
      <c r="U24" s="174"/>
      <c r="V24" s="175">
        <f t="shared" si="1"/>
        <v>0</v>
      </c>
      <c r="W24" s="171"/>
      <c r="X24" s="174">
        <f t="shared" si="20"/>
        <v>0</v>
      </c>
      <c r="Y24" s="174"/>
      <c r="Z24" s="174">
        <f t="shared" si="2"/>
        <v>0</v>
      </c>
      <c r="AA24" s="174"/>
      <c r="AB24" s="174">
        <f t="shared" si="3"/>
        <v>0</v>
      </c>
      <c r="AC24" s="174"/>
      <c r="AD24" s="174">
        <f t="shared" si="4"/>
        <v>0</v>
      </c>
      <c r="AE24" s="174"/>
      <c r="AF24" s="174">
        <f t="shared" si="5"/>
        <v>0</v>
      </c>
      <c r="AG24" s="174"/>
      <c r="AH24" s="174">
        <f t="shared" si="6"/>
        <v>0</v>
      </c>
      <c r="AI24" s="174"/>
      <c r="AJ24" s="174">
        <f t="shared" si="7"/>
        <v>0</v>
      </c>
      <c r="AK24" s="174"/>
      <c r="AL24" s="174">
        <f t="shared" si="8"/>
        <v>0</v>
      </c>
      <c r="AM24" s="174"/>
      <c r="AN24" s="174">
        <f t="shared" si="9"/>
        <v>0</v>
      </c>
      <c r="AO24" s="174"/>
      <c r="AP24" s="174">
        <f t="shared" si="10"/>
        <v>0</v>
      </c>
      <c r="AQ24" s="174"/>
      <c r="AR24" s="174">
        <f t="shared" si="11"/>
        <v>0</v>
      </c>
      <c r="AS24" s="174"/>
      <c r="AT24" s="174">
        <f t="shared" si="12"/>
        <v>0</v>
      </c>
      <c r="AU24" s="174"/>
      <c r="AV24" s="174">
        <f t="shared" si="13"/>
        <v>0</v>
      </c>
      <c r="AW24" s="174"/>
      <c r="AX24" s="174">
        <f t="shared" si="14"/>
        <v>0</v>
      </c>
      <c r="AY24" s="174"/>
      <c r="AZ24" s="174">
        <f t="shared" si="15"/>
        <v>0</v>
      </c>
    </row>
    <row r="25" spans="2:53" s="181" customFormat="1" x14ac:dyDescent="0.35">
      <c r="B25" s="168">
        <f t="shared" si="24"/>
        <v>15</v>
      </c>
      <c r="C25" s="169"/>
      <c r="D25" s="170">
        <v>1</v>
      </c>
      <c r="E25" s="171"/>
      <c r="F25" s="168" t="str">
        <f t="shared" si="21"/>
        <v>x</v>
      </c>
      <c r="G25" s="169"/>
      <c r="H25" s="169" t="s">
        <v>45</v>
      </c>
      <c r="I25" s="169"/>
      <c r="J25" s="168">
        <v>1</v>
      </c>
      <c r="K25" s="169">
        <v>23</v>
      </c>
      <c r="L25" s="168">
        <f t="shared" si="22"/>
        <v>1</v>
      </c>
      <c r="M25" s="169"/>
      <c r="N25" s="241">
        <f t="shared" si="16"/>
        <v>-1999</v>
      </c>
      <c r="O25" s="237">
        <f t="shared" si="17"/>
        <v>2023</v>
      </c>
      <c r="P25" s="234">
        <f t="shared" si="18"/>
        <v>24</v>
      </c>
      <c r="Q25" s="169"/>
      <c r="R25" s="172">
        <f t="shared" si="23"/>
        <v>1</v>
      </c>
      <c r="S25" s="173"/>
      <c r="T25" s="174">
        <f t="shared" si="19"/>
        <v>1</v>
      </c>
      <c r="U25" s="174"/>
      <c r="V25" s="175">
        <f t="shared" si="1"/>
        <v>0</v>
      </c>
      <c r="W25" s="171"/>
      <c r="X25" s="174">
        <f t="shared" si="20"/>
        <v>0</v>
      </c>
      <c r="Y25" s="174"/>
      <c r="Z25" s="174">
        <f t="shared" si="2"/>
        <v>0</v>
      </c>
      <c r="AA25" s="174"/>
      <c r="AB25" s="174">
        <f t="shared" si="3"/>
        <v>0</v>
      </c>
      <c r="AC25" s="174"/>
      <c r="AD25" s="174">
        <f t="shared" si="4"/>
        <v>0</v>
      </c>
      <c r="AE25" s="174"/>
      <c r="AF25" s="174">
        <f t="shared" si="5"/>
        <v>0</v>
      </c>
      <c r="AG25" s="174"/>
      <c r="AH25" s="174">
        <f t="shared" si="6"/>
        <v>0</v>
      </c>
      <c r="AI25" s="174"/>
      <c r="AJ25" s="174">
        <f t="shared" si="7"/>
        <v>0</v>
      </c>
      <c r="AK25" s="174"/>
      <c r="AL25" s="174">
        <f t="shared" si="8"/>
        <v>0</v>
      </c>
      <c r="AM25" s="174"/>
      <c r="AN25" s="174">
        <f t="shared" si="9"/>
        <v>0</v>
      </c>
      <c r="AO25" s="174"/>
      <c r="AP25" s="174">
        <f t="shared" si="10"/>
        <v>0</v>
      </c>
      <c r="AQ25" s="174"/>
      <c r="AR25" s="174">
        <f t="shared" si="11"/>
        <v>0</v>
      </c>
      <c r="AS25" s="174"/>
      <c r="AT25" s="174">
        <f t="shared" si="12"/>
        <v>0</v>
      </c>
      <c r="AU25" s="174"/>
      <c r="AV25" s="174">
        <f t="shared" si="13"/>
        <v>0</v>
      </c>
      <c r="AW25" s="174"/>
      <c r="AX25" s="174">
        <f t="shared" si="14"/>
        <v>0</v>
      </c>
      <c r="AY25" s="174"/>
      <c r="AZ25" s="174">
        <f t="shared" si="15"/>
        <v>0</v>
      </c>
    </row>
    <row r="26" spans="2:53" x14ac:dyDescent="0.35">
      <c r="B26" s="135">
        <f t="shared" si="24"/>
        <v>16</v>
      </c>
      <c r="D26" s="137">
        <v>1</v>
      </c>
      <c r="F26" s="135" t="str">
        <f t="shared" si="21"/>
        <v>x</v>
      </c>
      <c r="H26" s="136" t="s">
        <v>45</v>
      </c>
      <c r="J26" s="180">
        <v>1</v>
      </c>
      <c r="K26" s="136">
        <v>23</v>
      </c>
      <c r="L26" s="135">
        <f t="shared" si="22"/>
        <v>1</v>
      </c>
      <c r="N26" s="279">
        <f t="shared" si="16"/>
        <v>-1999</v>
      </c>
      <c r="O26" s="238">
        <f t="shared" si="17"/>
        <v>2023</v>
      </c>
      <c r="P26" s="280">
        <f t="shared" si="18"/>
        <v>24</v>
      </c>
      <c r="R26" s="176">
        <f t="shared" si="23"/>
        <v>1</v>
      </c>
      <c r="S26" s="177"/>
      <c r="T26" s="178">
        <f t="shared" si="19"/>
        <v>1</v>
      </c>
      <c r="U26" s="178"/>
      <c r="V26" s="179">
        <f t="shared" si="1"/>
        <v>0</v>
      </c>
      <c r="W26" s="138"/>
      <c r="X26" s="178">
        <f t="shared" si="20"/>
        <v>0</v>
      </c>
      <c r="Y26" s="178"/>
      <c r="Z26" s="178">
        <f t="shared" si="2"/>
        <v>0</v>
      </c>
      <c r="AA26" s="178"/>
      <c r="AB26" s="178">
        <f t="shared" si="3"/>
        <v>0</v>
      </c>
      <c r="AC26" s="178"/>
      <c r="AD26" s="178">
        <f t="shared" si="4"/>
        <v>0</v>
      </c>
      <c r="AE26" s="178"/>
      <c r="AF26" s="178">
        <f t="shared" si="5"/>
        <v>0</v>
      </c>
      <c r="AG26" s="178"/>
      <c r="AH26" s="178">
        <f t="shared" si="6"/>
        <v>0</v>
      </c>
      <c r="AI26" s="178"/>
      <c r="AJ26" s="178">
        <f t="shared" si="7"/>
        <v>0</v>
      </c>
      <c r="AK26" s="178"/>
      <c r="AL26" s="178">
        <f t="shared" si="8"/>
        <v>0</v>
      </c>
      <c r="AM26" s="178"/>
      <c r="AN26" s="178">
        <f t="shared" si="9"/>
        <v>0</v>
      </c>
      <c r="AO26" s="178"/>
      <c r="AP26" s="178">
        <f t="shared" si="10"/>
        <v>0</v>
      </c>
      <c r="AQ26" s="178"/>
      <c r="AR26" s="178">
        <f t="shared" si="11"/>
        <v>0</v>
      </c>
      <c r="AS26" s="178"/>
      <c r="AT26" s="178">
        <f t="shared" si="12"/>
        <v>0</v>
      </c>
      <c r="AU26" s="178"/>
      <c r="AV26" s="178">
        <f t="shared" si="13"/>
        <v>0</v>
      </c>
      <c r="AW26" s="178"/>
      <c r="AX26" s="178">
        <f t="shared" si="14"/>
        <v>0</v>
      </c>
      <c r="AY26" s="178"/>
      <c r="AZ26" s="178">
        <f t="shared" si="15"/>
        <v>0</v>
      </c>
    </row>
    <row r="27" spans="2:53" x14ac:dyDescent="0.35">
      <c r="B27" s="135">
        <f t="shared" si="24"/>
        <v>17</v>
      </c>
      <c r="D27" s="137">
        <v>1</v>
      </c>
      <c r="F27" s="135" t="str">
        <f t="shared" si="21"/>
        <v>x</v>
      </c>
      <c r="H27" s="136" t="s">
        <v>45</v>
      </c>
      <c r="J27" s="180">
        <v>1</v>
      </c>
      <c r="K27" s="136">
        <v>23</v>
      </c>
      <c r="L27" s="135">
        <f t="shared" si="22"/>
        <v>1</v>
      </c>
      <c r="N27" s="279">
        <f t="shared" si="16"/>
        <v>-1999</v>
      </c>
      <c r="O27" s="238">
        <f t="shared" si="17"/>
        <v>2023</v>
      </c>
      <c r="P27" s="280">
        <f t="shared" si="18"/>
        <v>24</v>
      </c>
      <c r="R27" s="176">
        <f t="shared" si="23"/>
        <v>1</v>
      </c>
      <c r="S27" s="177"/>
      <c r="T27" s="178">
        <f t="shared" si="19"/>
        <v>1</v>
      </c>
      <c r="U27" s="178"/>
      <c r="V27" s="179">
        <f t="shared" si="1"/>
        <v>0</v>
      </c>
      <c r="W27" s="138"/>
      <c r="X27" s="178">
        <f t="shared" si="20"/>
        <v>0</v>
      </c>
      <c r="Y27" s="178"/>
      <c r="Z27" s="178">
        <f t="shared" si="2"/>
        <v>0</v>
      </c>
      <c r="AA27" s="178"/>
      <c r="AB27" s="178">
        <f t="shared" si="3"/>
        <v>0</v>
      </c>
      <c r="AC27" s="178"/>
      <c r="AD27" s="178">
        <f t="shared" si="4"/>
        <v>0</v>
      </c>
      <c r="AE27" s="178"/>
      <c r="AF27" s="178">
        <f t="shared" si="5"/>
        <v>0</v>
      </c>
      <c r="AG27" s="178"/>
      <c r="AH27" s="178">
        <f t="shared" si="6"/>
        <v>0</v>
      </c>
      <c r="AI27" s="178"/>
      <c r="AJ27" s="178">
        <f t="shared" si="7"/>
        <v>0</v>
      </c>
      <c r="AK27" s="178"/>
      <c r="AL27" s="178">
        <f t="shared" si="8"/>
        <v>0</v>
      </c>
      <c r="AM27" s="178"/>
      <c r="AN27" s="178">
        <f t="shared" si="9"/>
        <v>0</v>
      </c>
      <c r="AO27" s="178"/>
      <c r="AP27" s="178">
        <f t="shared" si="10"/>
        <v>0</v>
      </c>
      <c r="AQ27" s="178"/>
      <c r="AR27" s="178">
        <f t="shared" si="11"/>
        <v>0</v>
      </c>
      <c r="AS27" s="178"/>
      <c r="AT27" s="178">
        <f t="shared" si="12"/>
        <v>0</v>
      </c>
      <c r="AU27" s="178"/>
      <c r="AV27" s="178">
        <f t="shared" si="13"/>
        <v>0</v>
      </c>
      <c r="AW27" s="178"/>
      <c r="AX27" s="178">
        <f t="shared" si="14"/>
        <v>0</v>
      </c>
      <c r="AY27" s="178"/>
      <c r="AZ27" s="178">
        <f t="shared" si="15"/>
        <v>0</v>
      </c>
    </row>
    <row r="28" spans="2:53" x14ac:dyDescent="0.35">
      <c r="B28" s="135">
        <f t="shared" si="24"/>
        <v>18</v>
      </c>
      <c r="D28" s="137">
        <v>1</v>
      </c>
      <c r="F28" s="135" t="str">
        <f t="shared" si="21"/>
        <v>x</v>
      </c>
      <c r="H28" s="136" t="s">
        <v>45</v>
      </c>
      <c r="J28" s="180">
        <v>1</v>
      </c>
      <c r="K28" s="136">
        <v>23</v>
      </c>
      <c r="L28" s="135">
        <f t="shared" si="22"/>
        <v>1</v>
      </c>
      <c r="N28" s="279">
        <f t="shared" si="16"/>
        <v>-1999</v>
      </c>
      <c r="O28" s="238">
        <f t="shared" si="17"/>
        <v>2023</v>
      </c>
      <c r="P28" s="280">
        <f t="shared" si="18"/>
        <v>24</v>
      </c>
      <c r="R28" s="176">
        <f t="shared" si="23"/>
        <v>1</v>
      </c>
      <c r="S28" s="177"/>
      <c r="T28" s="178">
        <f t="shared" si="19"/>
        <v>1</v>
      </c>
      <c r="U28" s="178"/>
      <c r="V28" s="179">
        <f t="shared" si="1"/>
        <v>0</v>
      </c>
      <c r="W28" s="138"/>
      <c r="X28" s="178">
        <f t="shared" si="20"/>
        <v>0</v>
      </c>
      <c r="Y28" s="178"/>
      <c r="Z28" s="178">
        <f t="shared" si="2"/>
        <v>0</v>
      </c>
      <c r="AA28" s="178"/>
      <c r="AB28" s="178">
        <f t="shared" si="3"/>
        <v>0</v>
      </c>
      <c r="AC28" s="178"/>
      <c r="AD28" s="178">
        <f t="shared" si="4"/>
        <v>0</v>
      </c>
      <c r="AE28" s="178"/>
      <c r="AF28" s="178">
        <f t="shared" si="5"/>
        <v>0</v>
      </c>
      <c r="AG28" s="178"/>
      <c r="AH28" s="178">
        <f t="shared" si="6"/>
        <v>0</v>
      </c>
      <c r="AI28" s="178"/>
      <c r="AJ28" s="178">
        <f t="shared" si="7"/>
        <v>0</v>
      </c>
      <c r="AK28" s="178"/>
      <c r="AL28" s="178">
        <f t="shared" si="8"/>
        <v>0</v>
      </c>
      <c r="AM28" s="178"/>
      <c r="AN28" s="178">
        <f t="shared" si="9"/>
        <v>0</v>
      </c>
      <c r="AO28" s="178"/>
      <c r="AP28" s="178">
        <f t="shared" si="10"/>
        <v>0</v>
      </c>
      <c r="AQ28" s="178"/>
      <c r="AR28" s="178">
        <f t="shared" si="11"/>
        <v>0</v>
      </c>
      <c r="AS28" s="178"/>
      <c r="AT28" s="178">
        <f t="shared" si="12"/>
        <v>0</v>
      </c>
      <c r="AU28" s="178"/>
      <c r="AV28" s="178">
        <f t="shared" si="13"/>
        <v>0</v>
      </c>
      <c r="AW28" s="178"/>
      <c r="AX28" s="178">
        <f t="shared" si="14"/>
        <v>0</v>
      </c>
      <c r="AY28" s="178"/>
      <c r="AZ28" s="178">
        <f t="shared" si="15"/>
        <v>0</v>
      </c>
    </row>
    <row r="29" spans="2:53" s="181" customFormat="1" x14ac:dyDescent="0.35">
      <c r="B29" s="168">
        <f t="shared" si="24"/>
        <v>19</v>
      </c>
      <c r="C29" s="169"/>
      <c r="D29" s="170">
        <v>1</v>
      </c>
      <c r="E29" s="171"/>
      <c r="F29" s="168" t="str">
        <f t="shared" si="21"/>
        <v>x</v>
      </c>
      <c r="G29" s="169"/>
      <c r="H29" s="169" t="s">
        <v>45</v>
      </c>
      <c r="I29" s="169"/>
      <c r="J29" s="168">
        <v>1</v>
      </c>
      <c r="K29" s="169">
        <v>23</v>
      </c>
      <c r="L29" s="168">
        <f t="shared" si="22"/>
        <v>1</v>
      </c>
      <c r="M29" s="169"/>
      <c r="N29" s="241">
        <f t="shared" si="16"/>
        <v>-1999</v>
      </c>
      <c r="O29" s="237">
        <f t="shared" si="17"/>
        <v>2023</v>
      </c>
      <c r="P29" s="234">
        <f t="shared" si="18"/>
        <v>24</v>
      </c>
      <c r="Q29" s="169"/>
      <c r="R29" s="172">
        <f t="shared" si="23"/>
        <v>1</v>
      </c>
      <c r="S29" s="173"/>
      <c r="T29" s="174">
        <f t="shared" si="19"/>
        <v>1</v>
      </c>
      <c r="U29" s="174"/>
      <c r="V29" s="175">
        <f t="shared" si="1"/>
        <v>0</v>
      </c>
      <c r="W29" s="171"/>
      <c r="X29" s="174">
        <f t="shared" si="20"/>
        <v>0</v>
      </c>
      <c r="Y29" s="174"/>
      <c r="Z29" s="174">
        <f t="shared" si="2"/>
        <v>0</v>
      </c>
      <c r="AA29" s="174"/>
      <c r="AB29" s="174">
        <f t="shared" si="3"/>
        <v>0</v>
      </c>
      <c r="AC29" s="174"/>
      <c r="AD29" s="174">
        <f t="shared" si="4"/>
        <v>0</v>
      </c>
      <c r="AE29" s="174"/>
      <c r="AF29" s="174">
        <f t="shared" si="5"/>
        <v>0</v>
      </c>
      <c r="AG29" s="174"/>
      <c r="AH29" s="174">
        <f t="shared" si="6"/>
        <v>0</v>
      </c>
      <c r="AI29" s="174"/>
      <c r="AJ29" s="174">
        <f t="shared" si="7"/>
        <v>0</v>
      </c>
      <c r="AK29" s="174"/>
      <c r="AL29" s="174">
        <f t="shared" si="8"/>
        <v>0</v>
      </c>
      <c r="AM29" s="174"/>
      <c r="AN29" s="174">
        <f t="shared" si="9"/>
        <v>0</v>
      </c>
      <c r="AO29" s="174"/>
      <c r="AP29" s="174">
        <f t="shared" si="10"/>
        <v>0</v>
      </c>
      <c r="AQ29" s="174"/>
      <c r="AR29" s="174">
        <f t="shared" si="11"/>
        <v>0</v>
      </c>
      <c r="AS29" s="174"/>
      <c r="AT29" s="174">
        <f t="shared" si="12"/>
        <v>0</v>
      </c>
      <c r="AU29" s="174"/>
      <c r="AV29" s="174">
        <f t="shared" si="13"/>
        <v>0</v>
      </c>
      <c r="AW29" s="174"/>
      <c r="AX29" s="174">
        <f t="shared" si="14"/>
        <v>0</v>
      </c>
      <c r="AY29" s="174"/>
      <c r="AZ29" s="174">
        <f t="shared" si="15"/>
        <v>0</v>
      </c>
    </row>
    <row r="30" spans="2:53" s="181" customFormat="1" x14ac:dyDescent="0.35">
      <c r="B30" s="168">
        <f t="shared" si="24"/>
        <v>20</v>
      </c>
      <c r="C30" s="169"/>
      <c r="D30" s="170">
        <v>1</v>
      </c>
      <c r="E30" s="171"/>
      <c r="F30" s="168" t="str">
        <f t="shared" si="21"/>
        <v>x</v>
      </c>
      <c r="G30" s="169"/>
      <c r="H30" s="169" t="s">
        <v>45</v>
      </c>
      <c r="I30" s="169"/>
      <c r="J30" s="168">
        <v>1</v>
      </c>
      <c r="K30" s="169">
        <v>23</v>
      </c>
      <c r="L30" s="168">
        <f t="shared" si="22"/>
        <v>1</v>
      </c>
      <c r="M30" s="169"/>
      <c r="N30" s="241">
        <f t="shared" si="16"/>
        <v>-1999</v>
      </c>
      <c r="O30" s="237">
        <f t="shared" si="17"/>
        <v>2023</v>
      </c>
      <c r="P30" s="234">
        <f t="shared" si="18"/>
        <v>24</v>
      </c>
      <c r="Q30" s="169"/>
      <c r="R30" s="172">
        <f t="shared" si="23"/>
        <v>1</v>
      </c>
      <c r="S30" s="173"/>
      <c r="T30" s="174">
        <f t="shared" si="19"/>
        <v>1</v>
      </c>
      <c r="U30" s="174"/>
      <c r="V30" s="175">
        <f t="shared" si="1"/>
        <v>0</v>
      </c>
      <c r="W30" s="171"/>
      <c r="X30" s="174">
        <f t="shared" si="20"/>
        <v>0</v>
      </c>
      <c r="Y30" s="174"/>
      <c r="Z30" s="174">
        <f t="shared" si="2"/>
        <v>0</v>
      </c>
      <c r="AA30" s="174"/>
      <c r="AB30" s="174">
        <f t="shared" si="3"/>
        <v>0</v>
      </c>
      <c r="AC30" s="174"/>
      <c r="AD30" s="174">
        <f t="shared" si="4"/>
        <v>0</v>
      </c>
      <c r="AE30" s="174"/>
      <c r="AF30" s="174">
        <f t="shared" si="5"/>
        <v>0</v>
      </c>
      <c r="AG30" s="174"/>
      <c r="AH30" s="174">
        <f t="shared" si="6"/>
        <v>0</v>
      </c>
      <c r="AI30" s="174"/>
      <c r="AJ30" s="174">
        <f t="shared" si="7"/>
        <v>0</v>
      </c>
      <c r="AK30" s="174"/>
      <c r="AL30" s="174">
        <f t="shared" si="8"/>
        <v>0</v>
      </c>
      <c r="AM30" s="174"/>
      <c r="AN30" s="174">
        <f t="shared" si="9"/>
        <v>0</v>
      </c>
      <c r="AO30" s="174"/>
      <c r="AP30" s="174">
        <f t="shared" si="10"/>
        <v>0</v>
      </c>
      <c r="AQ30" s="174"/>
      <c r="AR30" s="174">
        <f t="shared" si="11"/>
        <v>0</v>
      </c>
      <c r="AS30" s="174"/>
      <c r="AT30" s="174">
        <f t="shared" si="12"/>
        <v>0</v>
      </c>
      <c r="AU30" s="174"/>
      <c r="AV30" s="174">
        <f t="shared" si="13"/>
        <v>0</v>
      </c>
      <c r="AW30" s="174"/>
      <c r="AX30" s="174">
        <f t="shared" si="14"/>
        <v>0</v>
      </c>
      <c r="AY30" s="174"/>
      <c r="AZ30" s="174">
        <f t="shared" si="15"/>
        <v>0</v>
      </c>
    </row>
    <row r="31" spans="2:53" s="181" customFormat="1" x14ac:dyDescent="0.35">
      <c r="B31" s="168">
        <f t="shared" si="24"/>
        <v>21</v>
      </c>
      <c r="C31" s="169"/>
      <c r="D31" s="170">
        <v>1</v>
      </c>
      <c r="E31" s="171"/>
      <c r="F31" s="168" t="str">
        <f t="shared" si="21"/>
        <v>x</v>
      </c>
      <c r="G31" s="169"/>
      <c r="H31" s="169" t="s">
        <v>45</v>
      </c>
      <c r="I31" s="169"/>
      <c r="J31" s="168">
        <v>1</v>
      </c>
      <c r="K31" s="169">
        <v>23</v>
      </c>
      <c r="L31" s="168">
        <f t="shared" si="22"/>
        <v>1</v>
      </c>
      <c r="M31" s="169"/>
      <c r="N31" s="241">
        <f t="shared" si="16"/>
        <v>-1999</v>
      </c>
      <c r="O31" s="237">
        <f t="shared" si="17"/>
        <v>2023</v>
      </c>
      <c r="P31" s="234">
        <f t="shared" si="18"/>
        <v>24</v>
      </c>
      <c r="Q31" s="169"/>
      <c r="R31" s="172">
        <f t="shared" si="23"/>
        <v>1</v>
      </c>
      <c r="S31" s="173"/>
      <c r="T31" s="174">
        <f t="shared" si="19"/>
        <v>1</v>
      </c>
      <c r="U31" s="174"/>
      <c r="V31" s="175">
        <f t="shared" si="1"/>
        <v>0</v>
      </c>
      <c r="W31" s="171"/>
      <c r="X31" s="174">
        <f t="shared" si="20"/>
        <v>0</v>
      </c>
      <c r="Y31" s="174"/>
      <c r="Z31" s="174">
        <f t="shared" si="2"/>
        <v>0</v>
      </c>
      <c r="AA31" s="174"/>
      <c r="AB31" s="174">
        <f t="shared" si="3"/>
        <v>0</v>
      </c>
      <c r="AC31" s="174"/>
      <c r="AD31" s="174">
        <f t="shared" si="4"/>
        <v>0</v>
      </c>
      <c r="AE31" s="174"/>
      <c r="AF31" s="174">
        <f t="shared" si="5"/>
        <v>0</v>
      </c>
      <c r="AG31" s="174"/>
      <c r="AH31" s="174">
        <f t="shared" si="6"/>
        <v>0</v>
      </c>
      <c r="AI31" s="174"/>
      <c r="AJ31" s="174">
        <f t="shared" si="7"/>
        <v>0</v>
      </c>
      <c r="AK31" s="174"/>
      <c r="AL31" s="174">
        <f t="shared" si="8"/>
        <v>0</v>
      </c>
      <c r="AM31" s="174"/>
      <c r="AN31" s="174">
        <f t="shared" si="9"/>
        <v>0</v>
      </c>
      <c r="AO31" s="174"/>
      <c r="AP31" s="174">
        <f t="shared" si="10"/>
        <v>0</v>
      </c>
      <c r="AQ31" s="174"/>
      <c r="AR31" s="174">
        <f t="shared" si="11"/>
        <v>0</v>
      </c>
      <c r="AS31" s="174"/>
      <c r="AT31" s="174">
        <f t="shared" si="12"/>
        <v>0</v>
      </c>
      <c r="AU31" s="174"/>
      <c r="AV31" s="174">
        <f t="shared" si="13"/>
        <v>0</v>
      </c>
      <c r="AW31" s="174"/>
      <c r="AX31" s="174">
        <f t="shared" si="14"/>
        <v>0</v>
      </c>
      <c r="AY31" s="174"/>
      <c r="AZ31" s="174">
        <f t="shared" si="15"/>
        <v>0</v>
      </c>
    </row>
    <row r="32" spans="2:53" s="151" customFormat="1" x14ac:dyDescent="0.35">
      <c r="B32" s="180">
        <f t="shared" si="24"/>
        <v>22</v>
      </c>
      <c r="C32" s="136"/>
      <c r="D32" s="137">
        <v>1</v>
      </c>
      <c r="E32" s="138"/>
      <c r="F32" s="135" t="str">
        <f t="shared" si="21"/>
        <v>x</v>
      </c>
      <c r="G32" s="136"/>
      <c r="H32" s="151" t="s">
        <v>45</v>
      </c>
      <c r="I32" s="136"/>
      <c r="J32" s="135">
        <v>1</v>
      </c>
      <c r="K32" s="136">
        <v>23</v>
      </c>
      <c r="L32" s="135">
        <f t="shared" si="22"/>
        <v>1</v>
      </c>
      <c r="M32" s="136"/>
      <c r="N32" s="279">
        <f t="shared" si="16"/>
        <v>-1999</v>
      </c>
      <c r="O32" s="238">
        <f t="shared" si="17"/>
        <v>2023</v>
      </c>
      <c r="P32" s="280">
        <f t="shared" si="18"/>
        <v>24</v>
      </c>
      <c r="Q32" s="136"/>
      <c r="R32" s="176">
        <f t="shared" si="23"/>
        <v>1</v>
      </c>
      <c r="S32" s="177"/>
      <c r="T32" s="178">
        <f t="shared" si="19"/>
        <v>1</v>
      </c>
      <c r="U32" s="178"/>
      <c r="V32" s="179">
        <f t="shared" si="1"/>
        <v>0</v>
      </c>
      <c r="W32" s="138"/>
      <c r="X32" s="178">
        <f t="shared" si="20"/>
        <v>0</v>
      </c>
      <c r="Y32" s="178"/>
      <c r="Z32" s="178">
        <f t="shared" si="2"/>
        <v>0</v>
      </c>
      <c r="AA32" s="178"/>
      <c r="AB32" s="178">
        <f t="shared" si="3"/>
        <v>0</v>
      </c>
      <c r="AC32" s="178"/>
      <c r="AD32" s="178">
        <f t="shared" si="4"/>
        <v>0</v>
      </c>
      <c r="AE32" s="178"/>
      <c r="AF32" s="178">
        <f t="shared" si="5"/>
        <v>0</v>
      </c>
      <c r="AG32" s="178"/>
      <c r="AH32" s="178">
        <f t="shared" si="6"/>
        <v>0</v>
      </c>
      <c r="AI32" s="178"/>
      <c r="AJ32" s="178">
        <f t="shared" si="7"/>
        <v>0</v>
      </c>
      <c r="AK32" s="178"/>
      <c r="AL32" s="178">
        <f t="shared" si="8"/>
        <v>0</v>
      </c>
      <c r="AM32" s="178"/>
      <c r="AN32" s="178">
        <f t="shared" si="9"/>
        <v>0</v>
      </c>
      <c r="AO32" s="178"/>
      <c r="AP32" s="178">
        <f t="shared" si="10"/>
        <v>0</v>
      </c>
      <c r="AQ32" s="178"/>
      <c r="AR32" s="178">
        <f t="shared" si="11"/>
        <v>0</v>
      </c>
      <c r="AS32" s="178"/>
      <c r="AT32" s="178">
        <f t="shared" si="12"/>
        <v>0</v>
      </c>
      <c r="AU32" s="178"/>
      <c r="AV32" s="178">
        <f t="shared" si="13"/>
        <v>0</v>
      </c>
      <c r="AW32" s="178"/>
      <c r="AX32" s="178">
        <f t="shared" si="14"/>
        <v>0</v>
      </c>
      <c r="AY32" s="178"/>
      <c r="AZ32" s="178">
        <f t="shared" si="15"/>
        <v>0</v>
      </c>
      <c r="BA32" s="136"/>
    </row>
    <row r="33" spans="2:53" s="151" customFormat="1" x14ac:dyDescent="0.35">
      <c r="B33" s="135">
        <f>+B32+1</f>
        <v>23</v>
      </c>
      <c r="C33" s="136"/>
      <c r="D33" s="137">
        <v>1</v>
      </c>
      <c r="E33" s="138"/>
      <c r="F33" s="135" t="str">
        <f t="shared" si="21"/>
        <v>x</v>
      </c>
      <c r="G33" s="137"/>
      <c r="H33" s="136" t="s">
        <v>45</v>
      </c>
      <c r="I33" s="136"/>
      <c r="J33" s="135">
        <v>1</v>
      </c>
      <c r="K33" s="136">
        <v>23</v>
      </c>
      <c r="L33" s="135">
        <f t="shared" si="22"/>
        <v>1</v>
      </c>
      <c r="M33" s="136"/>
      <c r="N33" s="279">
        <f t="shared" si="16"/>
        <v>-1999</v>
      </c>
      <c r="O33" s="238">
        <f t="shared" si="17"/>
        <v>2023</v>
      </c>
      <c r="P33" s="280">
        <f t="shared" si="18"/>
        <v>24</v>
      </c>
      <c r="Q33" s="136"/>
      <c r="R33" s="176">
        <f t="shared" si="23"/>
        <v>1</v>
      </c>
      <c r="S33" s="177"/>
      <c r="T33" s="178">
        <f t="shared" si="19"/>
        <v>1</v>
      </c>
      <c r="U33" s="178"/>
      <c r="V33" s="179">
        <f t="shared" si="1"/>
        <v>0</v>
      </c>
      <c r="W33" s="138"/>
      <c r="X33" s="178">
        <f t="shared" si="20"/>
        <v>0</v>
      </c>
      <c r="Y33" s="178"/>
      <c r="Z33" s="178">
        <f t="shared" si="2"/>
        <v>0</v>
      </c>
      <c r="AA33" s="178"/>
      <c r="AB33" s="178">
        <f t="shared" si="3"/>
        <v>0</v>
      </c>
      <c r="AC33" s="178"/>
      <c r="AD33" s="178">
        <f t="shared" si="4"/>
        <v>0</v>
      </c>
      <c r="AE33" s="178"/>
      <c r="AF33" s="178">
        <f t="shared" si="5"/>
        <v>0</v>
      </c>
      <c r="AG33" s="178"/>
      <c r="AH33" s="178">
        <f t="shared" si="6"/>
        <v>0</v>
      </c>
      <c r="AI33" s="178"/>
      <c r="AJ33" s="178">
        <f t="shared" si="7"/>
        <v>0</v>
      </c>
      <c r="AK33" s="178"/>
      <c r="AL33" s="178">
        <f t="shared" si="8"/>
        <v>0</v>
      </c>
      <c r="AM33" s="178"/>
      <c r="AN33" s="178">
        <f t="shared" si="9"/>
        <v>0</v>
      </c>
      <c r="AO33" s="178"/>
      <c r="AP33" s="178">
        <f t="shared" si="10"/>
        <v>0</v>
      </c>
      <c r="AQ33" s="178"/>
      <c r="AR33" s="178">
        <f t="shared" si="11"/>
        <v>0</v>
      </c>
      <c r="AS33" s="178"/>
      <c r="AT33" s="178">
        <f t="shared" si="12"/>
        <v>0</v>
      </c>
      <c r="AU33" s="178"/>
      <c r="AV33" s="178">
        <f t="shared" si="13"/>
        <v>0</v>
      </c>
      <c r="AW33" s="178"/>
      <c r="AX33" s="178">
        <f t="shared" si="14"/>
        <v>0</v>
      </c>
      <c r="AY33" s="178"/>
      <c r="AZ33" s="178">
        <f t="shared" si="15"/>
        <v>0</v>
      </c>
      <c r="BA33" s="136"/>
    </row>
    <row r="34" spans="2:53" s="151" customFormat="1" x14ac:dyDescent="0.35">
      <c r="B34" s="135">
        <f>+B33+1</f>
        <v>24</v>
      </c>
      <c r="C34" s="136"/>
      <c r="D34" s="137">
        <v>1</v>
      </c>
      <c r="E34" s="138"/>
      <c r="F34" s="135" t="str">
        <f t="shared" si="21"/>
        <v>x</v>
      </c>
      <c r="G34" s="136"/>
      <c r="H34" s="188" t="s">
        <v>45</v>
      </c>
      <c r="I34" s="136"/>
      <c r="J34" s="135">
        <v>1</v>
      </c>
      <c r="K34" s="136">
        <v>23</v>
      </c>
      <c r="L34" s="135">
        <f t="shared" si="22"/>
        <v>1</v>
      </c>
      <c r="M34" s="136"/>
      <c r="N34" s="279">
        <f t="shared" si="16"/>
        <v>-1999</v>
      </c>
      <c r="O34" s="238">
        <f t="shared" si="17"/>
        <v>2023</v>
      </c>
      <c r="P34" s="280">
        <f t="shared" si="18"/>
        <v>24</v>
      </c>
      <c r="Q34" s="136"/>
      <c r="R34" s="176">
        <f t="shared" si="23"/>
        <v>1</v>
      </c>
      <c r="S34" s="177"/>
      <c r="T34" s="178">
        <f t="shared" si="19"/>
        <v>1</v>
      </c>
      <c r="U34" s="178"/>
      <c r="V34" s="179">
        <f t="shared" si="1"/>
        <v>0</v>
      </c>
      <c r="W34" s="138"/>
      <c r="X34" s="178">
        <f t="shared" si="20"/>
        <v>0</v>
      </c>
      <c r="Y34" s="178"/>
      <c r="Z34" s="178">
        <f t="shared" si="2"/>
        <v>0</v>
      </c>
      <c r="AA34" s="178"/>
      <c r="AB34" s="178">
        <f t="shared" si="3"/>
        <v>0</v>
      </c>
      <c r="AC34" s="178"/>
      <c r="AD34" s="178">
        <f t="shared" si="4"/>
        <v>0</v>
      </c>
      <c r="AE34" s="178"/>
      <c r="AF34" s="178">
        <f t="shared" si="5"/>
        <v>0</v>
      </c>
      <c r="AG34" s="178"/>
      <c r="AH34" s="178">
        <f t="shared" si="6"/>
        <v>0</v>
      </c>
      <c r="AI34" s="178"/>
      <c r="AJ34" s="178">
        <f t="shared" si="7"/>
        <v>0</v>
      </c>
      <c r="AK34" s="178"/>
      <c r="AL34" s="178">
        <f t="shared" si="8"/>
        <v>0</v>
      </c>
      <c r="AM34" s="178"/>
      <c r="AN34" s="178">
        <f t="shared" si="9"/>
        <v>0</v>
      </c>
      <c r="AO34" s="178"/>
      <c r="AP34" s="178">
        <f t="shared" si="10"/>
        <v>0</v>
      </c>
      <c r="AQ34" s="178"/>
      <c r="AR34" s="178">
        <f t="shared" si="11"/>
        <v>0</v>
      </c>
      <c r="AS34" s="178"/>
      <c r="AT34" s="178">
        <f t="shared" si="12"/>
        <v>0</v>
      </c>
      <c r="AU34" s="178"/>
      <c r="AV34" s="178">
        <f t="shared" si="13"/>
        <v>0</v>
      </c>
      <c r="AW34" s="178"/>
      <c r="AX34" s="178">
        <f t="shared" si="14"/>
        <v>0</v>
      </c>
      <c r="AY34" s="178"/>
      <c r="AZ34" s="178">
        <f t="shared" si="15"/>
        <v>0</v>
      </c>
      <c r="BA34" s="136"/>
    </row>
    <row r="35" spans="2:53" s="151" customFormat="1" x14ac:dyDescent="0.35">
      <c r="B35" s="168">
        <f t="shared" ref="B35:B50" si="25">+B34+1</f>
        <v>25</v>
      </c>
      <c r="C35" s="169"/>
      <c r="D35" s="170">
        <v>1</v>
      </c>
      <c r="E35" s="171"/>
      <c r="F35" s="168" t="str">
        <f t="shared" si="21"/>
        <v>x</v>
      </c>
      <c r="G35" s="169"/>
      <c r="H35" s="169" t="s">
        <v>45</v>
      </c>
      <c r="I35" s="169"/>
      <c r="J35" s="168">
        <v>1</v>
      </c>
      <c r="K35" s="169">
        <v>23</v>
      </c>
      <c r="L35" s="168">
        <f t="shared" si="22"/>
        <v>1</v>
      </c>
      <c r="M35" s="169"/>
      <c r="N35" s="241">
        <f t="shared" si="16"/>
        <v>-1999</v>
      </c>
      <c r="O35" s="237">
        <f t="shared" si="17"/>
        <v>2023</v>
      </c>
      <c r="P35" s="234">
        <f t="shared" si="18"/>
        <v>24</v>
      </c>
      <c r="Q35" s="169"/>
      <c r="R35" s="172">
        <f t="shared" si="23"/>
        <v>1</v>
      </c>
      <c r="S35" s="173"/>
      <c r="T35" s="174">
        <f t="shared" si="19"/>
        <v>1</v>
      </c>
      <c r="U35" s="174"/>
      <c r="V35" s="175">
        <f t="shared" si="1"/>
        <v>0</v>
      </c>
      <c r="W35" s="171"/>
      <c r="X35" s="174">
        <f t="shared" si="20"/>
        <v>0</v>
      </c>
      <c r="Y35" s="174"/>
      <c r="Z35" s="174">
        <f t="shared" si="2"/>
        <v>0</v>
      </c>
      <c r="AA35" s="174"/>
      <c r="AB35" s="174">
        <f t="shared" si="3"/>
        <v>0</v>
      </c>
      <c r="AC35" s="174"/>
      <c r="AD35" s="174">
        <f t="shared" si="4"/>
        <v>0</v>
      </c>
      <c r="AE35" s="174"/>
      <c r="AF35" s="174">
        <f t="shared" si="5"/>
        <v>0</v>
      </c>
      <c r="AG35" s="174"/>
      <c r="AH35" s="174">
        <f t="shared" si="6"/>
        <v>0</v>
      </c>
      <c r="AI35" s="174"/>
      <c r="AJ35" s="174">
        <f t="shared" si="7"/>
        <v>0</v>
      </c>
      <c r="AK35" s="174"/>
      <c r="AL35" s="174">
        <f t="shared" si="8"/>
        <v>0</v>
      </c>
      <c r="AM35" s="174"/>
      <c r="AN35" s="174">
        <f t="shared" si="9"/>
        <v>0</v>
      </c>
      <c r="AO35" s="174"/>
      <c r="AP35" s="174">
        <f t="shared" si="10"/>
        <v>0</v>
      </c>
      <c r="AQ35" s="174"/>
      <c r="AR35" s="174">
        <f t="shared" si="11"/>
        <v>0</v>
      </c>
      <c r="AS35" s="174"/>
      <c r="AT35" s="174">
        <f t="shared" si="12"/>
        <v>0</v>
      </c>
      <c r="AU35" s="174"/>
      <c r="AV35" s="174">
        <f t="shared" si="13"/>
        <v>0</v>
      </c>
      <c r="AW35" s="174"/>
      <c r="AX35" s="174">
        <f t="shared" si="14"/>
        <v>0</v>
      </c>
      <c r="AY35" s="174"/>
      <c r="AZ35" s="174">
        <f t="shared" si="15"/>
        <v>0</v>
      </c>
      <c r="BA35" s="136"/>
    </row>
    <row r="36" spans="2:53" s="151" customFormat="1" x14ac:dyDescent="0.35">
      <c r="B36" s="168">
        <f t="shared" si="25"/>
        <v>26</v>
      </c>
      <c r="C36" s="169"/>
      <c r="D36" s="170">
        <v>1</v>
      </c>
      <c r="E36" s="171"/>
      <c r="F36" s="168" t="str">
        <f t="shared" si="21"/>
        <v>x</v>
      </c>
      <c r="G36" s="169"/>
      <c r="H36" s="169" t="s">
        <v>45</v>
      </c>
      <c r="I36" s="169"/>
      <c r="J36" s="168">
        <v>1</v>
      </c>
      <c r="K36" s="169">
        <v>23</v>
      </c>
      <c r="L36" s="168">
        <f t="shared" si="22"/>
        <v>1</v>
      </c>
      <c r="M36" s="169"/>
      <c r="N36" s="241">
        <f t="shared" si="16"/>
        <v>-1999</v>
      </c>
      <c r="O36" s="237">
        <f t="shared" si="17"/>
        <v>2023</v>
      </c>
      <c r="P36" s="234">
        <f t="shared" si="18"/>
        <v>24</v>
      </c>
      <c r="Q36" s="169"/>
      <c r="R36" s="172">
        <f t="shared" si="23"/>
        <v>1</v>
      </c>
      <c r="S36" s="173"/>
      <c r="T36" s="174">
        <f t="shared" si="19"/>
        <v>1</v>
      </c>
      <c r="U36" s="174"/>
      <c r="V36" s="175">
        <f t="shared" si="1"/>
        <v>0</v>
      </c>
      <c r="W36" s="171"/>
      <c r="X36" s="174">
        <f t="shared" si="20"/>
        <v>0</v>
      </c>
      <c r="Y36" s="174"/>
      <c r="Z36" s="174">
        <f t="shared" si="2"/>
        <v>0</v>
      </c>
      <c r="AA36" s="174"/>
      <c r="AB36" s="174">
        <f t="shared" si="3"/>
        <v>0</v>
      </c>
      <c r="AC36" s="174"/>
      <c r="AD36" s="174">
        <f t="shared" si="4"/>
        <v>0</v>
      </c>
      <c r="AE36" s="174"/>
      <c r="AF36" s="174">
        <f t="shared" si="5"/>
        <v>0</v>
      </c>
      <c r="AG36" s="174"/>
      <c r="AH36" s="174">
        <f t="shared" si="6"/>
        <v>0</v>
      </c>
      <c r="AI36" s="174"/>
      <c r="AJ36" s="174">
        <f t="shared" si="7"/>
        <v>0</v>
      </c>
      <c r="AK36" s="174"/>
      <c r="AL36" s="174">
        <f t="shared" si="8"/>
        <v>0</v>
      </c>
      <c r="AM36" s="174"/>
      <c r="AN36" s="174">
        <f t="shared" si="9"/>
        <v>0</v>
      </c>
      <c r="AO36" s="174"/>
      <c r="AP36" s="174">
        <f t="shared" si="10"/>
        <v>0</v>
      </c>
      <c r="AQ36" s="174"/>
      <c r="AR36" s="174">
        <f t="shared" si="11"/>
        <v>0</v>
      </c>
      <c r="AS36" s="174"/>
      <c r="AT36" s="174">
        <f t="shared" si="12"/>
        <v>0</v>
      </c>
      <c r="AU36" s="174"/>
      <c r="AV36" s="174">
        <f t="shared" si="13"/>
        <v>0</v>
      </c>
      <c r="AW36" s="174"/>
      <c r="AX36" s="174">
        <f t="shared" si="14"/>
        <v>0</v>
      </c>
      <c r="AY36" s="174"/>
      <c r="AZ36" s="174">
        <f t="shared" si="15"/>
        <v>0</v>
      </c>
      <c r="BA36" s="136"/>
    </row>
    <row r="37" spans="2:53" x14ac:dyDescent="0.35">
      <c r="B37" s="168">
        <f t="shared" si="25"/>
        <v>27</v>
      </c>
      <c r="C37" s="169"/>
      <c r="D37" s="170">
        <v>1</v>
      </c>
      <c r="E37" s="171"/>
      <c r="F37" s="168" t="str">
        <f t="shared" si="21"/>
        <v>x</v>
      </c>
      <c r="G37" s="169"/>
      <c r="H37" s="169" t="s">
        <v>45</v>
      </c>
      <c r="I37" s="169"/>
      <c r="J37" s="168">
        <v>1</v>
      </c>
      <c r="K37" s="169">
        <v>23</v>
      </c>
      <c r="L37" s="168">
        <f t="shared" si="22"/>
        <v>1</v>
      </c>
      <c r="M37" s="169"/>
      <c r="N37" s="241">
        <f t="shared" si="16"/>
        <v>-1999</v>
      </c>
      <c r="O37" s="237">
        <f t="shared" si="17"/>
        <v>2023</v>
      </c>
      <c r="P37" s="234">
        <f t="shared" si="18"/>
        <v>24</v>
      </c>
      <c r="Q37" s="169"/>
      <c r="R37" s="172">
        <f t="shared" si="23"/>
        <v>1</v>
      </c>
      <c r="S37" s="173"/>
      <c r="T37" s="174">
        <f t="shared" si="19"/>
        <v>1</v>
      </c>
      <c r="U37" s="174"/>
      <c r="V37" s="175">
        <f t="shared" si="1"/>
        <v>0</v>
      </c>
      <c r="W37" s="171"/>
      <c r="X37" s="174">
        <f t="shared" si="20"/>
        <v>0</v>
      </c>
      <c r="Y37" s="174"/>
      <c r="Z37" s="174">
        <f t="shared" si="2"/>
        <v>0</v>
      </c>
      <c r="AA37" s="174"/>
      <c r="AB37" s="174">
        <f t="shared" si="3"/>
        <v>0</v>
      </c>
      <c r="AC37" s="174"/>
      <c r="AD37" s="174">
        <f t="shared" si="4"/>
        <v>0</v>
      </c>
      <c r="AE37" s="174"/>
      <c r="AF37" s="174">
        <f t="shared" si="5"/>
        <v>0</v>
      </c>
      <c r="AG37" s="174"/>
      <c r="AH37" s="174">
        <f t="shared" si="6"/>
        <v>0</v>
      </c>
      <c r="AI37" s="174"/>
      <c r="AJ37" s="174">
        <f t="shared" si="7"/>
        <v>0</v>
      </c>
      <c r="AK37" s="174"/>
      <c r="AL37" s="174">
        <f t="shared" si="8"/>
        <v>0</v>
      </c>
      <c r="AM37" s="174"/>
      <c r="AN37" s="174">
        <f t="shared" si="9"/>
        <v>0</v>
      </c>
      <c r="AO37" s="174"/>
      <c r="AP37" s="174">
        <f t="shared" si="10"/>
        <v>0</v>
      </c>
      <c r="AQ37" s="174"/>
      <c r="AR37" s="174">
        <f t="shared" si="11"/>
        <v>0</v>
      </c>
      <c r="AS37" s="174"/>
      <c r="AT37" s="174">
        <f t="shared" si="12"/>
        <v>0</v>
      </c>
      <c r="AU37" s="174"/>
      <c r="AV37" s="174">
        <f t="shared" si="13"/>
        <v>0</v>
      </c>
      <c r="AW37" s="174"/>
      <c r="AX37" s="174">
        <f t="shared" si="14"/>
        <v>0</v>
      </c>
      <c r="AY37" s="174"/>
      <c r="AZ37" s="174">
        <f t="shared" si="15"/>
        <v>0</v>
      </c>
    </row>
    <row r="38" spans="2:53" s="181" customFormat="1" x14ac:dyDescent="0.35">
      <c r="B38" s="180">
        <f t="shared" si="25"/>
        <v>28</v>
      </c>
      <c r="D38" s="182">
        <v>1</v>
      </c>
      <c r="E38" s="183"/>
      <c r="F38" s="135" t="str">
        <f t="shared" si="21"/>
        <v>x</v>
      </c>
      <c r="H38" s="181" t="s">
        <v>45</v>
      </c>
      <c r="J38" s="180">
        <v>1</v>
      </c>
      <c r="K38" s="136">
        <v>23</v>
      </c>
      <c r="L38" s="135">
        <f t="shared" si="22"/>
        <v>1</v>
      </c>
      <c r="M38" s="136"/>
      <c r="N38" s="279">
        <f t="shared" si="16"/>
        <v>-1999</v>
      </c>
      <c r="O38" s="238">
        <f t="shared" si="17"/>
        <v>2023</v>
      </c>
      <c r="P38" s="280">
        <f t="shared" si="18"/>
        <v>24</v>
      </c>
      <c r="Q38" s="136"/>
      <c r="R38" s="176">
        <f t="shared" si="23"/>
        <v>1</v>
      </c>
      <c r="S38" s="184"/>
      <c r="T38" s="185">
        <f t="shared" si="19"/>
        <v>1</v>
      </c>
      <c r="U38" s="185"/>
      <c r="V38" s="186">
        <f t="shared" si="1"/>
        <v>0</v>
      </c>
      <c r="W38" s="183"/>
      <c r="X38" s="185">
        <f t="shared" si="20"/>
        <v>0</v>
      </c>
      <c r="Y38" s="185"/>
      <c r="Z38" s="185">
        <f t="shared" si="2"/>
        <v>0</v>
      </c>
      <c r="AA38" s="185"/>
      <c r="AB38" s="185">
        <f t="shared" si="3"/>
        <v>0</v>
      </c>
      <c r="AC38" s="185"/>
      <c r="AD38" s="185">
        <f t="shared" si="4"/>
        <v>0</v>
      </c>
      <c r="AE38" s="185"/>
      <c r="AF38" s="185">
        <f t="shared" si="5"/>
        <v>0</v>
      </c>
      <c r="AG38" s="185"/>
      <c r="AH38" s="185">
        <f t="shared" si="6"/>
        <v>0</v>
      </c>
      <c r="AI38" s="185"/>
      <c r="AJ38" s="185">
        <f t="shared" si="7"/>
        <v>0</v>
      </c>
      <c r="AK38" s="185"/>
      <c r="AL38" s="185">
        <f t="shared" si="8"/>
        <v>0</v>
      </c>
      <c r="AM38" s="185"/>
      <c r="AN38" s="185">
        <f t="shared" si="9"/>
        <v>0</v>
      </c>
      <c r="AO38" s="185"/>
      <c r="AP38" s="185">
        <f t="shared" si="10"/>
        <v>0</v>
      </c>
      <c r="AQ38" s="185"/>
      <c r="AR38" s="185">
        <f t="shared" si="11"/>
        <v>0</v>
      </c>
      <c r="AS38" s="185"/>
      <c r="AT38" s="185">
        <f t="shared" si="12"/>
        <v>0</v>
      </c>
      <c r="AU38" s="185"/>
      <c r="AV38" s="185">
        <f t="shared" si="13"/>
        <v>0</v>
      </c>
      <c r="AW38" s="185"/>
      <c r="AX38" s="185">
        <f t="shared" si="14"/>
        <v>0</v>
      </c>
      <c r="AY38" s="185"/>
      <c r="AZ38" s="185">
        <f t="shared" si="15"/>
        <v>0</v>
      </c>
    </row>
    <row r="39" spans="2:53" s="181" customFormat="1" x14ac:dyDescent="0.35">
      <c r="B39" s="180">
        <f t="shared" si="25"/>
        <v>29</v>
      </c>
      <c r="D39" s="182">
        <v>1</v>
      </c>
      <c r="E39" s="183"/>
      <c r="F39" s="135" t="str">
        <f t="shared" si="21"/>
        <v>x</v>
      </c>
      <c r="H39" s="181" t="s">
        <v>45</v>
      </c>
      <c r="J39" s="180">
        <v>1</v>
      </c>
      <c r="K39" s="136">
        <v>23</v>
      </c>
      <c r="L39" s="135">
        <f t="shared" si="22"/>
        <v>1</v>
      </c>
      <c r="M39" s="136"/>
      <c r="N39" s="279">
        <f t="shared" si="16"/>
        <v>-1999</v>
      </c>
      <c r="O39" s="238">
        <f t="shared" si="17"/>
        <v>2023</v>
      </c>
      <c r="P39" s="280">
        <f t="shared" si="18"/>
        <v>24</v>
      </c>
      <c r="Q39" s="136"/>
      <c r="R39" s="176">
        <f t="shared" si="23"/>
        <v>1</v>
      </c>
      <c r="S39" s="184"/>
      <c r="T39" s="185">
        <f t="shared" si="19"/>
        <v>1</v>
      </c>
      <c r="U39" s="185"/>
      <c r="V39" s="186">
        <f t="shared" si="1"/>
        <v>0</v>
      </c>
      <c r="W39" s="183"/>
      <c r="X39" s="185">
        <f t="shared" si="20"/>
        <v>0</v>
      </c>
      <c r="Y39" s="185"/>
      <c r="Z39" s="185">
        <f t="shared" si="2"/>
        <v>0</v>
      </c>
      <c r="AA39" s="185"/>
      <c r="AB39" s="185">
        <f t="shared" si="3"/>
        <v>0</v>
      </c>
      <c r="AC39" s="185"/>
      <c r="AD39" s="185">
        <f t="shared" si="4"/>
        <v>0</v>
      </c>
      <c r="AE39" s="185"/>
      <c r="AF39" s="185">
        <f t="shared" si="5"/>
        <v>0</v>
      </c>
      <c r="AG39" s="185"/>
      <c r="AH39" s="185">
        <f t="shared" si="6"/>
        <v>0</v>
      </c>
      <c r="AI39" s="185"/>
      <c r="AJ39" s="185">
        <f t="shared" si="7"/>
        <v>0</v>
      </c>
      <c r="AK39" s="185"/>
      <c r="AL39" s="185">
        <f t="shared" si="8"/>
        <v>0</v>
      </c>
      <c r="AM39" s="185"/>
      <c r="AN39" s="185">
        <f t="shared" si="9"/>
        <v>0</v>
      </c>
      <c r="AO39" s="185"/>
      <c r="AP39" s="185">
        <f t="shared" si="10"/>
        <v>0</v>
      </c>
      <c r="AQ39" s="185"/>
      <c r="AR39" s="185">
        <f t="shared" si="11"/>
        <v>0</v>
      </c>
      <c r="AS39" s="185"/>
      <c r="AT39" s="185">
        <f t="shared" si="12"/>
        <v>0</v>
      </c>
      <c r="AU39" s="185"/>
      <c r="AV39" s="185">
        <f t="shared" si="13"/>
        <v>0</v>
      </c>
      <c r="AW39" s="185"/>
      <c r="AX39" s="185">
        <f t="shared" si="14"/>
        <v>0</v>
      </c>
      <c r="AY39" s="185"/>
      <c r="AZ39" s="185">
        <f t="shared" si="15"/>
        <v>0</v>
      </c>
    </row>
    <row r="40" spans="2:53" s="181" customFormat="1" x14ac:dyDescent="0.35">
      <c r="B40" s="180">
        <f t="shared" si="25"/>
        <v>30</v>
      </c>
      <c r="D40" s="182">
        <v>1</v>
      </c>
      <c r="E40" s="183"/>
      <c r="F40" s="135" t="str">
        <f t="shared" si="21"/>
        <v>x</v>
      </c>
      <c r="H40" s="181" t="s">
        <v>45</v>
      </c>
      <c r="J40" s="180">
        <v>1</v>
      </c>
      <c r="K40" s="136">
        <v>23</v>
      </c>
      <c r="L40" s="135">
        <f t="shared" si="22"/>
        <v>1</v>
      </c>
      <c r="M40" s="136"/>
      <c r="N40" s="279">
        <f t="shared" si="16"/>
        <v>-1999</v>
      </c>
      <c r="O40" s="238">
        <f t="shared" si="17"/>
        <v>2023</v>
      </c>
      <c r="P40" s="280">
        <f t="shared" si="18"/>
        <v>24</v>
      </c>
      <c r="Q40" s="136"/>
      <c r="R40" s="176">
        <f t="shared" si="23"/>
        <v>1</v>
      </c>
      <c r="S40" s="184"/>
      <c r="T40" s="185">
        <f t="shared" si="19"/>
        <v>1</v>
      </c>
      <c r="U40" s="185"/>
      <c r="V40" s="186">
        <f t="shared" si="1"/>
        <v>0</v>
      </c>
      <c r="W40" s="183"/>
      <c r="X40" s="185">
        <f t="shared" si="20"/>
        <v>0</v>
      </c>
      <c r="Y40" s="185"/>
      <c r="Z40" s="185">
        <f t="shared" si="2"/>
        <v>0</v>
      </c>
      <c r="AA40" s="185"/>
      <c r="AB40" s="185">
        <f t="shared" si="3"/>
        <v>0</v>
      </c>
      <c r="AC40" s="185"/>
      <c r="AD40" s="185">
        <f t="shared" si="4"/>
        <v>0</v>
      </c>
      <c r="AE40" s="185"/>
      <c r="AF40" s="185">
        <f t="shared" si="5"/>
        <v>0</v>
      </c>
      <c r="AG40" s="185"/>
      <c r="AH40" s="185">
        <f t="shared" si="6"/>
        <v>0</v>
      </c>
      <c r="AI40" s="185"/>
      <c r="AJ40" s="185">
        <f t="shared" si="7"/>
        <v>0</v>
      </c>
      <c r="AK40" s="185"/>
      <c r="AL40" s="185">
        <f t="shared" si="8"/>
        <v>0</v>
      </c>
      <c r="AM40" s="185"/>
      <c r="AN40" s="185">
        <f t="shared" si="9"/>
        <v>0</v>
      </c>
      <c r="AO40" s="185"/>
      <c r="AP40" s="185">
        <f t="shared" si="10"/>
        <v>0</v>
      </c>
      <c r="AQ40" s="185"/>
      <c r="AR40" s="185">
        <f t="shared" si="11"/>
        <v>0</v>
      </c>
      <c r="AS40" s="185"/>
      <c r="AT40" s="185">
        <f t="shared" si="12"/>
        <v>0</v>
      </c>
      <c r="AU40" s="185"/>
      <c r="AV40" s="185">
        <f t="shared" si="13"/>
        <v>0</v>
      </c>
      <c r="AW40" s="185"/>
      <c r="AX40" s="185">
        <f t="shared" si="14"/>
        <v>0</v>
      </c>
      <c r="AY40" s="185"/>
      <c r="AZ40" s="185">
        <f t="shared" si="15"/>
        <v>0</v>
      </c>
    </row>
    <row r="41" spans="2:53" s="181" customFormat="1" x14ac:dyDescent="0.35">
      <c r="B41" s="168">
        <f t="shared" si="25"/>
        <v>31</v>
      </c>
      <c r="C41" s="169"/>
      <c r="D41" s="170">
        <v>1</v>
      </c>
      <c r="E41" s="171"/>
      <c r="F41" s="168" t="str">
        <f t="shared" si="21"/>
        <v>x</v>
      </c>
      <c r="G41" s="169"/>
      <c r="H41" s="169" t="s">
        <v>45</v>
      </c>
      <c r="I41" s="169"/>
      <c r="J41" s="168">
        <v>1</v>
      </c>
      <c r="K41" s="169">
        <v>23</v>
      </c>
      <c r="L41" s="168">
        <f t="shared" si="22"/>
        <v>1</v>
      </c>
      <c r="M41" s="169"/>
      <c r="N41" s="241">
        <f t="shared" si="16"/>
        <v>-1999</v>
      </c>
      <c r="O41" s="237">
        <f t="shared" si="17"/>
        <v>2023</v>
      </c>
      <c r="P41" s="234">
        <f t="shared" si="18"/>
        <v>24</v>
      </c>
      <c r="Q41" s="169"/>
      <c r="R41" s="172">
        <f t="shared" si="23"/>
        <v>1</v>
      </c>
      <c r="S41" s="173"/>
      <c r="T41" s="174">
        <f t="shared" si="19"/>
        <v>1</v>
      </c>
      <c r="U41" s="174"/>
      <c r="V41" s="175">
        <f t="shared" si="1"/>
        <v>0</v>
      </c>
      <c r="W41" s="171"/>
      <c r="X41" s="174">
        <f t="shared" si="20"/>
        <v>0</v>
      </c>
      <c r="Y41" s="174"/>
      <c r="Z41" s="174">
        <f t="shared" si="2"/>
        <v>0</v>
      </c>
      <c r="AA41" s="174"/>
      <c r="AB41" s="174">
        <f t="shared" si="3"/>
        <v>0</v>
      </c>
      <c r="AC41" s="174"/>
      <c r="AD41" s="174">
        <f t="shared" si="4"/>
        <v>0</v>
      </c>
      <c r="AE41" s="174"/>
      <c r="AF41" s="174">
        <f t="shared" si="5"/>
        <v>0</v>
      </c>
      <c r="AG41" s="174"/>
      <c r="AH41" s="174">
        <f t="shared" si="6"/>
        <v>0</v>
      </c>
      <c r="AI41" s="174"/>
      <c r="AJ41" s="174">
        <f t="shared" si="7"/>
        <v>0</v>
      </c>
      <c r="AK41" s="174"/>
      <c r="AL41" s="174">
        <f t="shared" si="8"/>
        <v>0</v>
      </c>
      <c r="AM41" s="174"/>
      <c r="AN41" s="174">
        <f t="shared" si="9"/>
        <v>0</v>
      </c>
      <c r="AO41" s="174"/>
      <c r="AP41" s="174">
        <f t="shared" si="10"/>
        <v>0</v>
      </c>
      <c r="AQ41" s="174"/>
      <c r="AR41" s="174">
        <f t="shared" si="11"/>
        <v>0</v>
      </c>
      <c r="AS41" s="174"/>
      <c r="AT41" s="174">
        <f t="shared" si="12"/>
        <v>0</v>
      </c>
      <c r="AU41" s="174"/>
      <c r="AV41" s="174">
        <f t="shared" si="13"/>
        <v>0</v>
      </c>
      <c r="AW41" s="174"/>
      <c r="AX41" s="174">
        <f t="shared" si="14"/>
        <v>0</v>
      </c>
      <c r="AY41" s="174"/>
      <c r="AZ41" s="174">
        <f t="shared" si="15"/>
        <v>0</v>
      </c>
    </row>
    <row r="42" spans="2:53" s="181" customFormat="1" x14ac:dyDescent="0.35">
      <c r="B42" s="168">
        <f t="shared" si="25"/>
        <v>32</v>
      </c>
      <c r="C42" s="169"/>
      <c r="D42" s="170">
        <v>1</v>
      </c>
      <c r="E42" s="171"/>
      <c r="F42" s="168" t="str">
        <f t="shared" si="21"/>
        <v>x</v>
      </c>
      <c r="G42" s="169"/>
      <c r="H42" s="169" t="s">
        <v>45</v>
      </c>
      <c r="I42" s="169"/>
      <c r="J42" s="168">
        <v>1</v>
      </c>
      <c r="K42" s="169">
        <v>23</v>
      </c>
      <c r="L42" s="168">
        <f t="shared" si="22"/>
        <v>1</v>
      </c>
      <c r="M42" s="169"/>
      <c r="N42" s="241">
        <f t="shared" si="16"/>
        <v>-1999</v>
      </c>
      <c r="O42" s="237">
        <f t="shared" si="17"/>
        <v>2023</v>
      </c>
      <c r="P42" s="234">
        <f t="shared" si="18"/>
        <v>24</v>
      </c>
      <c r="Q42" s="169"/>
      <c r="R42" s="172">
        <f t="shared" si="23"/>
        <v>1</v>
      </c>
      <c r="S42" s="173"/>
      <c r="T42" s="174">
        <f t="shared" si="19"/>
        <v>1</v>
      </c>
      <c r="U42" s="174"/>
      <c r="V42" s="175">
        <f t="shared" si="1"/>
        <v>0</v>
      </c>
      <c r="W42" s="171"/>
      <c r="X42" s="174">
        <f t="shared" si="20"/>
        <v>0</v>
      </c>
      <c r="Y42" s="174"/>
      <c r="Z42" s="174">
        <f t="shared" si="2"/>
        <v>0</v>
      </c>
      <c r="AA42" s="174"/>
      <c r="AB42" s="174">
        <f t="shared" si="3"/>
        <v>0</v>
      </c>
      <c r="AC42" s="174"/>
      <c r="AD42" s="174">
        <f t="shared" si="4"/>
        <v>0</v>
      </c>
      <c r="AE42" s="174"/>
      <c r="AF42" s="174">
        <f t="shared" si="5"/>
        <v>0</v>
      </c>
      <c r="AG42" s="174"/>
      <c r="AH42" s="174">
        <f t="shared" si="6"/>
        <v>0</v>
      </c>
      <c r="AI42" s="174"/>
      <c r="AJ42" s="174">
        <f t="shared" si="7"/>
        <v>0</v>
      </c>
      <c r="AK42" s="174"/>
      <c r="AL42" s="174">
        <f t="shared" si="8"/>
        <v>0</v>
      </c>
      <c r="AM42" s="174"/>
      <c r="AN42" s="174">
        <f t="shared" si="9"/>
        <v>0</v>
      </c>
      <c r="AO42" s="174"/>
      <c r="AP42" s="174">
        <f t="shared" si="10"/>
        <v>0</v>
      </c>
      <c r="AQ42" s="174"/>
      <c r="AR42" s="174">
        <f t="shared" si="11"/>
        <v>0</v>
      </c>
      <c r="AS42" s="174"/>
      <c r="AT42" s="174">
        <f t="shared" si="12"/>
        <v>0</v>
      </c>
      <c r="AU42" s="174"/>
      <c r="AV42" s="174">
        <f t="shared" si="13"/>
        <v>0</v>
      </c>
      <c r="AW42" s="174"/>
      <c r="AX42" s="174">
        <f t="shared" si="14"/>
        <v>0</v>
      </c>
      <c r="AY42" s="174"/>
      <c r="AZ42" s="174">
        <f t="shared" si="15"/>
        <v>0</v>
      </c>
    </row>
    <row r="43" spans="2:53" s="181" customFormat="1" x14ac:dyDescent="0.35">
      <c r="B43" s="168">
        <f t="shared" si="25"/>
        <v>33</v>
      </c>
      <c r="C43" s="169"/>
      <c r="D43" s="170">
        <v>1</v>
      </c>
      <c r="E43" s="171"/>
      <c r="F43" s="168" t="str">
        <f t="shared" si="21"/>
        <v>x</v>
      </c>
      <c r="G43" s="169"/>
      <c r="H43" s="169" t="s">
        <v>45</v>
      </c>
      <c r="I43" s="169"/>
      <c r="J43" s="168">
        <v>1</v>
      </c>
      <c r="K43" s="169">
        <v>23</v>
      </c>
      <c r="L43" s="168">
        <f t="shared" si="22"/>
        <v>1</v>
      </c>
      <c r="M43" s="169"/>
      <c r="N43" s="241">
        <f t="shared" si="16"/>
        <v>-1999</v>
      </c>
      <c r="O43" s="237">
        <f t="shared" si="17"/>
        <v>2023</v>
      </c>
      <c r="P43" s="234">
        <f t="shared" si="18"/>
        <v>24</v>
      </c>
      <c r="Q43" s="169"/>
      <c r="R43" s="172">
        <f t="shared" si="23"/>
        <v>1</v>
      </c>
      <c r="S43" s="173"/>
      <c r="T43" s="174">
        <f t="shared" si="19"/>
        <v>1</v>
      </c>
      <c r="U43" s="174"/>
      <c r="V43" s="175">
        <f t="shared" si="1"/>
        <v>0</v>
      </c>
      <c r="W43" s="171"/>
      <c r="X43" s="174">
        <f t="shared" si="20"/>
        <v>0</v>
      </c>
      <c r="Y43" s="174"/>
      <c r="Z43" s="174">
        <f t="shared" si="2"/>
        <v>0</v>
      </c>
      <c r="AA43" s="174"/>
      <c r="AB43" s="174">
        <f t="shared" si="3"/>
        <v>0</v>
      </c>
      <c r="AC43" s="174"/>
      <c r="AD43" s="174">
        <f t="shared" si="4"/>
        <v>0</v>
      </c>
      <c r="AE43" s="174"/>
      <c r="AF43" s="174">
        <f t="shared" si="5"/>
        <v>0</v>
      </c>
      <c r="AG43" s="174"/>
      <c r="AH43" s="174">
        <f t="shared" si="6"/>
        <v>0</v>
      </c>
      <c r="AI43" s="174"/>
      <c r="AJ43" s="174">
        <f t="shared" si="7"/>
        <v>0</v>
      </c>
      <c r="AK43" s="174"/>
      <c r="AL43" s="174">
        <f t="shared" si="8"/>
        <v>0</v>
      </c>
      <c r="AM43" s="174"/>
      <c r="AN43" s="174">
        <f t="shared" si="9"/>
        <v>0</v>
      </c>
      <c r="AO43" s="174"/>
      <c r="AP43" s="174">
        <f t="shared" si="10"/>
        <v>0</v>
      </c>
      <c r="AQ43" s="174"/>
      <c r="AR43" s="174">
        <f t="shared" si="11"/>
        <v>0</v>
      </c>
      <c r="AS43" s="174"/>
      <c r="AT43" s="174">
        <f t="shared" si="12"/>
        <v>0</v>
      </c>
      <c r="AU43" s="174"/>
      <c r="AV43" s="174">
        <f t="shared" si="13"/>
        <v>0</v>
      </c>
      <c r="AW43" s="174"/>
      <c r="AX43" s="174">
        <f t="shared" si="14"/>
        <v>0</v>
      </c>
      <c r="AY43" s="174"/>
      <c r="AZ43" s="174">
        <f t="shared" si="15"/>
        <v>0</v>
      </c>
    </row>
    <row r="44" spans="2:53" s="181" customFormat="1" x14ac:dyDescent="0.35">
      <c r="B44" s="180">
        <f t="shared" si="25"/>
        <v>34</v>
      </c>
      <c r="D44" s="182">
        <v>1</v>
      </c>
      <c r="E44" s="183"/>
      <c r="F44" s="135" t="str">
        <f t="shared" si="21"/>
        <v>x</v>
      </c>
      <c r="H44" s="181" t="s">
        <v>45</v>
      </c>
      <c r="J44" s="180">
        <v>1</v>
      </c>
      <c r="K44" s="136">
        <v>23</v>
      </c>
      <c r="L44" s="135">
        <f t="shared" si="22"/>
        <v>1</v>
      </c>
      <c r="M44" s="136"/>
      <c r="N44" s="279">
        <f t="shared" si="16"/>
        <v>-1999</v>
      </c>
      <c r="O44" s="238">
        <f t="shared" si="17"/>
        <v>2023</v>
      </c>
      <c r="P44" s="280">
        <f t="shared" si="18"/>
        <v>24</v>
      </c>
      <c r="Q44" s="136"/>
      <c r="R44" s="176">
        <f t="shared" si="23"/>
        <v>1</v>
      </c>
      <c r="S44" s="184"/>
      <c r="T44" s="185">
        <f t="shared" si="19"/>
        <v>1</v>
      </c>
      <c r="U44" s="185"/>
      <c r="V44" s="186">
        <f t="shared" si="1"/>
        <v>0</v>
      </c>
      <c r="W44" s="183"/>
      <c r="X44" s="185">
        <f t="shared" si="20"/>
        <v>0</v>
      </c>
      <c r="Y44" s="185"/>
      <c r="Z44" s="185">
        <f t="shared" si="2"/>
        <v>0</v>
      </c>
      <c r="AA44" s="185"/>
      <c r="AB44" s="185">
        <f t="shared" si="3"/>
        <v>0</v>
      </c>
      <c r="AC44" s="185"/>
      <c r="AD44" s="185">
        <f t="shared" si="4"/>
        <v>0</v>
      </c>
      <c r="AE44" s="185"/>
      <c r="AF44" s="185">
        <f t="shared" si="5"/>
        <v>0</v>
      </c>
      <c r="AG44" s="185"/>
      <c r="AH44" s="185">
        <f t="shared" si="6"/>
        <v>0</v>
      </c>
      <c r="AI44" s="185"/>
      <c r="AJ44" s="185">
        <f t="shared" si="7"/>
        <v>0</v>
      </c>
      <c r="AK44" s="185"/>
      <c r="AL44" s="185">
        <f t="shared" si="8"/>
        <v>0</v>
      </c>
      <c r="AM44" s="185"/>
      <c r="AN44" s="185">
        <f t="shared" si="9"/>
        <v>0</v>
      </c>
      <c r="AO44" s="185"/>
      <c r="AP44" s="185">
        <f t="shared" si="10"/>
        <v>0</v>
      </c>
      <c r="AQ44" s="185"/>
      <c r="AR44" s="185">
        <f t="shared" si="11"/>
        <v>0</v>
      </c>
      <c r="AS44" s="185"/>
      <c r="AT44" s="185">
        <f t="shared" si="12"/>
        <v>0</v>
      </c>
      <c r="AU44" s="185"/>
      <c r="AV44" s="185">
        <f t="shared" si="13"/>
        <v>0</v>
      </c>
      <c r="AW44" s="185"/>
      <c r="AX44" s="185">
        <f t="shared" si="14"/>
        <v>0</v>
      </c>
      <c r="AY44" s="185"/>
      <c r="AZ44" s="185">
        <f t="shared" si="15"/>
        <v>0</v>
      </c>
    </row>
    <row r="45" spans="2:53" s="181" customFormat="1" x14ac:dyDescent="0.35">
      <c r="B45" s="180">
        <f t="shared" si="25"/>
        <v>35</v>
      </c>
      <c r="D45" s="182">
        <v>1</v>
      </c>
      <c r="E45" s="183"/>
      <c r="F45" s="135" t="str">
        <f t="shared" si="21"/>
        <v>x</v>
      </c>
      <c r="H45" s="181" t="s">
        <v>45</v>
      </c>
      <c r="J45" s="180">
        <v>1</v>
      </c>
      <c r="K45" s="136">
        <v>23</v>
      </c>
      <c r="L45" s="135">
        <f t="shared" si="22"/>
        <v>1</v>
      </c>
      <c r="M45" s="136"/>
      <c r="N45" s="279">
        <f t="shared" si="16"/>
        <v>-1999</v>
      </c>
      <c r="O45" s="238">
        <f t="shared" si="17"/>
        <v>2023</v>
      </c>
      <c r="P45" s="280">
        <f t="shared" si="18"/>
        <v>24</v>
      </c>
      <c r="Q45" s="136"/>
      <c r="R45" s="176">
        <f t="shared" si="23"/>
        <v>1</v>
      </c>
      <c r="S45" s="184"/>
      <c r="T45" s="185">
        <f t="shared" si="19"/>
        <v>1</v>
      </c>
      <c r="U45" s="185"/>
      <c r="V45" s="186">
        <f t="shared" si="1"/>
        <v>0</v>
      </c>
      <c r="W45" s="183"/>
      <c r="X45" s="185">
        <f t="shared" si="20"/>
        <v>0</v>
      </c>
      <c r="Y45" s="185"/>
      <c r="Z45" s="185">
        <f t="shared" si="2"/>
        <v>0</v>
      </c>
      <c r="AA45" s="185"/>
      <c r="AB45" s="185">
        <f t="shared" si="3"/>
        <v>0</v>
      </c>
      <c r="AC45" s="185"/>
      <c r="AD45" s="185">
        <f t="shared" si="4"/>
        <v>0</v>
      </c>
      <c r="AE45" s="185"/>
      <c r="AF45" s="185">
        <f t="shared" si="5"/>
        <v>0</v>
      </c>
      <c r="AG45" s="185"/>
      <c r="AH45" s="185">
        <f t="shared" si="6"/>
        <v>0</v>
      </c>
      <c r="AI45" s="185"/>
      <c r="AJ45" s="185">
        <f t="shared" si="7"/>
        <v>0</v>
      </c>
      <c r="AK45" s="185"/>
      <c r="AL45" s="185">
        <f t="shared" si="8"/>
        <v>0</v>
      </c>
      <c r="AM45" s="185"/>
      <c r="AN45" s="185">
        <f t="shared" si="9"/>
        <v>0</v>
      </c>
      <c r="AO45" s="185"/>
      <c r="AP45" s="185">
        <f t="shared" si="10"/>
        <v>0</v>
      </c>
      <c r="AQ45" s="185"/>
      <c r="AR45" s="185">
        <f t="shared" si="11"/>
        <v>0</v>
      </c>
      <c r="AS45" s="185"/>
      <c r="AT45" s="185">
        <f t="shared" si="12"/>
        <v>0</v>
      </c>
      <c r="AU45" s="185"/>
      <c r="AV45" s="185">
        <f t="shared" si="13"/>
        <v>0</v>
      </c>
      <c r="AW45" s="185"/>
      <c r="AX45" s="185">
        <f t="shared" si="14"/>
        <v>0</v>
      </c>
      <c r="AY45" s="185"/>
      <c r="AZ45" s="185">
        <f t="shared" si="15"/>
        <v>0</v>
      </c>
    </row>
    <row r="46" spans="2:53" s="181" customFormat="1" x14ac:dyDescent="0.35">
      <c r="B46" s="180">
        <f t="shared" si="25"/>
        <v>36</v>
      </c>
      <c r="D46" s="182">
        <v>1</v>
      </c>
      <c r="E46" s="183"/>
      <c r="F46" s="135" t="str">
        <f t="shared" si="21"/>
        <v>x</v>
      </c>
      <c r="H46" s="181" t="s">
        <v>45</v>
      </c>
      <c r="J46" s="180">
        <v>1</v>
      </c>
      <c r="K46" s="136">
        <v>23</v>
      </c>
      <c r="L46" s="135">
        <f t="shared" si="22"/>
        <v>1</v>
      </c>
      <c r="M46" s="136"/>
      <c r="N46" s="279">
        <f t="shared" si="16"/>
        <v>-1999</v>
      </c>
      <c r="O46" s="238">
        <f t="shared" si="17"/>
        <v>2023</v>
      </c>
      <c r="P46" s="280">
        <f t="shared" si="18"/>
        <v>24</v>
      </c>
      <c r="Q46" s="136"/>
      <c r="R46" s="176">
        <f t="shared" si="23"/>
        <v>1</v>
      </c>
      <c r="S46" s="184"/>
      <c r="T46" s="185">
        <f t="shared" si="19"/>
        <v>1</v>
      </c>
      <c r="U46" s="185"/>
      <c r="V46" s="186">
        <f t="shared" si="1"/>
        <v>0</v>
      </c>
      <c r="W46" s="183"/>
      <c r="X46" s="185">
        <f t="shared" si="20"/>
        <v>0</v>
      </c>
      <c r="Y46" s="185"/>
      <c r="Z46" s="185">
        <f t="shared" si="2"/>
        <v>0</v>
      </c>
      <c r="AA46" s="185"/>
      <c r="AB46" s="185">
        <f t="shared" si="3"/>
        <v>0</v>
      </c>
      <c r="AC46" s="185"/>
      <c r="AD46" s="185">
        <f t="shared" si="4"/>
        <v>0</v>
      </c>
      <c r="AE46" s="185"/>
      <c r="AF46" s="185">
        <f t="shared" si="5"/>
        <v>0</v>
      </c>
      <c r="AG46" s="185"/>
      <c r="AH46" s="185">
        <f t="shared" si="6"/>
        <v>0</v>
      </c>
      <c r="AI46" s="185"/>
      <c r="AJ46" s="185">
        <f t="shared" si="7"/>
        <v>0</v>
      </c>
      <c r="AK46" s="185"/>
      <c r="AL46" s="185">
        <f t="shared" si="8"/>
        <v>0</v>
      </c>
      <c r="AM46" s="185"/>
      <c r="AN46" s="185">
        <f t="shared" si="9"/>
        <v>0</v>
      </c>
      <c r="AO46" s="185"/>
      <c r="AP46" s="185">
        <f t="shared" si="10"/>
        <v>0</v>
      </c>
      <c r="AQ46" s="185"/>
      <c r="AR46" s="185">
        <f t="shared" si="11"/>
        <v>0</v>
      </c>
      <c r="AS46" s="185"/>
      <c r="AT46" s="185">
        <f t="shared" si="12"/>
        <v>0</v>
      </c>
      <c r="AU46" s="185"/>
      <c r="AV46" s="185">
        <f t="shared" si="13"/>
        <v>0</v>
      </c>
      <c r="AW46" s="185"/>
      <c r="AX46" s="185">
        <f t="shared" si="14"/>
        <v>0</v>
      </c>
      <c r="AY46" s="185"/>
      <c r="AZ46" s="185">
        <f t="shared" si="15"/>
        <v>0</v>
      </c>
    </row>
    <row r="47" spans="2:53" s="181" customFormat="1" x14ac:dyDescent="0.35">
      <c r="B47" s="168">
        <f t="shared" si="25"/>
        <v>37</v>
      </c>
      <c r="C47" s="169"/>
      <c r="D47" s="170">
        <v>1</v>
      </c>
      <c r="E47" s="171"/>
      <c r="F47" s="168" t="str">
        <f t="shared" si="21"/>
        <v>x</v>
      </c>
      <c r="G47" s="169"/>
      <c r="H47" s="169" t="s">
        <v>45</v>
      </c>
      <c r="I47" s="169"/>
      <c r="J47" s="168">
        <v>1</v>
      </c>
      <c r="K47" s="169">
        <v>23</v>
      </c>
      <c r="L47" s="168">
        <f t="shared" si="22"/>
        <v>1</v>
      </c>
      <c r="M47" s="169"/>
      <c r="N47" s="241">
        <f t="shared" si="16"/>
        <v>-1999</v>
      </c>
      <c r="O47" s="237">
        <f t="shared" si="17"/>
        <v>2023</v>
      </c>
      <c r="P47" s="234">
        <f t="shared" si="18"/>
        <v>24</v>
      </c>
      <c r="Q47" s="169"/>
      <c r="R47" s="172">
        <f t="shared" si="23"/>
        <v>1</v>
      </c>
      <c r="S47" s="173"/>
      <c r="T47" s="174">
        <f t="shared" si="19"/>
        <v>1</v>
      </c>
      <c r="U47" s="174"/>
      <c r="V47" s="175">
        <f t="shared" si="1"/>
        <v>0</v>
      </c>
      <c r="W47" s="171"/>
      <c r="X47" s="174">
        <f t="shared" si="20"/>
        <v>0</v>
      </c>
      <c r="Y47" s="174"/>
      <c r="Z47" s="174">
        <f t="shared" si="2"/>
        <v>0</v>
      </c>
      <c r="AA47" s="174"/>
      <c r="AB47" s="174">
        <f t="shared" si="3"/>
        <v>0</v>
      </c>
      <c r="AC47" s="174"/>
      <c r="AD47" s="174">
        <f t="shared" si="4"/>
        <v>0</v>
      </c>
      <c r="AE47" s="174"/>
      <c r="AF47" s="174">
        <f t="shared" si="5"/>
        <v>0</v>
      </c>
      <c r="AG47" s="174"/>
      <c r="AH47" s="174">
        <f t="shared" si="6"/>
        <v>0</v>
      </c>
      <c r="AI47" s="174"/>
      <c r="AJ47" s="174">
        <f t="shared" si="7"/>
        <v>0</v>
      </c>
      <c r="AK47" s="174"/>
      <c r="AL47" s="174">
        <f t="shared" si="8"/>
        <v>0</v>
      </c>
      <c r="AM47" s="174"/>
      <c r="AN47" s="174">
        <f t="shared" si="9"/>
        <v>0</v>
      </c>
      <c r="AO47" s="174"/>
      <c r="AP47" s="174">
        <f t="shared" si="10"/>
        <v>0</v>
      </c>
      <c r="AQ47" s="174"/>
      <c r="AR47" s="174">
        <f t="shared" si="11"/>
        <v>0</v>
      </c>
      <c r="AS47" s="174"/>
      <c r="AT47" s="174">
        <f t="shared" si="12"/>
        <v>0</v>
      </c>
      <c r="AU47" s="174"/>
      <c r="AV47" s="174">
        <f t="shared" si="13"/>
        <v>0</v>
      </c>
      <c r="AW47" s="174"/>
      <c r="AX47" s="174">
        <f t="shared" si="14"/>
        <v>0</v>
      </c>
      <c r="AY47" s="174"/>
      <c r="AZ47" s="174">
        <f t="shared" si="15"/>
        <v>0</v>
      </c>
    </row>
    <row r="48" spans="2:53" s="181" customFormat="1" x14ac:dyDescent="0.35">
      <c r="B48" s="168">
        <f t="shared" si="25"/>
        <v>38</v>
      </c>
      <c r="C48" s="169"/>
      <c r="D48" s="170">
        <v>1</v>
      </c>
      <c r="E48" s="171"/>
      <c r="F48" s="168" t="str">
        <f t="shared" si="21"/>
        <v>x</v>
      </c>
      <c r="G48" s="169"/>
      <c r="H48" s="169" t="s">
        <v>45</v>
      </c>
      <c r="I48" s="169"/>
      <c r="J48" s="168">
        <v>1</v>
      </c>
      <c r="K48" s="169">
        <v>23</v>
      </c>
      <c r="L48" s="168">
        <f t="shared" si="22"/>
        <v>1</v>
      </c>
      <c r="M48" s="169"/>
      <c r="N48" s="241">
        <f t="shared" si="16"/>
        <v>-1999</v>
      </c>
      <c r="O48" s="237">
        <f t="shared" si="17"/>
        <v>2023</v>
      </c>
      <c r="P48" s="234">
        <f t="shared" si="18"/>
        <v>24</v>
      </c>
      <c r="Q48" s="169"/>
      <c r="R48" s="172">
        <f t="shared" si="23"/>
        <v>1</v>
      </c>
      <c r="S48" s="173"/>
      <c r="T48" s="174">
        <f t="shared" si="19"/>
        <v>1</v>
      </c>
      <c r="U48" s="174"/>
      <c r="V48" s="175">
        <f t="shared" si="1"/>
        <v>0</v>
      </c>
      <c r="W48" s="171"/>
      <c r="X48" s="174">
        <f t="shared" si="20"/>
        <v>0</v>
      </c>
      <c r="Y48" s="174"/>
      <c r="Z48" s="174">
        <f t="shared" si="2"/>
        <v>0</v>
      </c>
      <c r="AA48" s="174"/>
      <c r="AB48" s="174">
        <f t="shared" si="3"/>
        <v>0</v>
      </c>
      <c r="AC48" s="174"/>
      <c r="AD48" s="174">
        <f t="shared" si="4"/>
        <v>0</v>
      </c>
      <c r="AE48" s="174"/>
      <c r="AF48" s="174">
        <f t="shared" si="5"/>
        <v>0</v>
      </c>
      <c r="AG48" s="174"/>
      <c r="AH48" s="174">
        <f t="shared" si="6"/>
        <v>0</v>
      </c>
      <c r="AI48" s="174"/>
      <c r="AJ48" s="174">
        <f t="shared" si="7"/>
        <v>0</v>
      </c>
      <c r="AK48" s="174"/>
      <c r="AL48" s="174">
        <f t="shared" si="8"/>
        <v>0</v>
      </c>
      <c r="AM48" s="174"/>
      <c r="AN48" s="174">
        <f t="shared" si="9"/>
        <v>0</v>
      </c>
      <c r="AO48" s="174"/>
      <c r="AP48" s="174">
        <f t="shared" si="10"/>
        <v>0</v>
      </c>
      <c r="AQ48" s="174"/>
      <c r="AR48" s="174">
        <f t="shared" si="11"/>
        <v>0</v>
      </c>
      <c r="AS48" s="174"/>
      <c r="AT48" s="174">
        <f t="shared" si="12"/>
        <v>0</v>
      </c>
      <c r="AU48" s="174"/>
      <c r="AV48" s="174">
        <f t="shared" si="13"/>
        <v>0</v>
      </c>
      <c r="AW48" s="174"/>
      <c r="AX48" s="174">
        <f t="shared" si="14"/>
        <v>0</v>
      </c>
      <c r="AY48" s="174"/>
      <c r="AZ48" s="174">
        <f t="shared" si="15"/>
        <v>0</v>
      </c>
    </row>
    <row r="49" spans="2:53" s="181" customFormat="1" x14ac:dyDescent="0.35">
      <c r="B49" s="168">
        <f t="shared" si="25"/>
        <v>39</v>
      </c>
      <c r="C49" s="169"/>
      <c r="D49" s="170">
        <v>1</v>
      </c>
      <c r="E49" s="171"/>
      <c r="F49" s="168" t="str">
        <f t="shared" si="21"/>
        <v>x</v>
      </c>
      <c r="G49" s="169"/>
      <c r="H49" s="169" t="s">
        <v>45</v>
      </c>
      <c r="I49" s="169"/>
      <c r="J49" s="168">
        <v>1</v>
      </c>
      <c r="K49" s="169">
        <v>23</v>
      </c>
      <c r="L49" s="168">
        <f t="shared" si="22"/>
        <v>1</v>
      </c>
      <c r="M49" s="169"/>
      <c r="N49" s="241">
        <f t="shared" si="16"/>
        <v>-1999</v>
      </c>
      <c r="O49" s="237">
        <f t="shared" si="17"/>
        <v>2023</v>
      </c>
      <c r="P49" s="234">
        <f t="shared" si="18"/>
        <v>24</v>
      </c>
      <c r="Q49" s="169"/>
      <c r="R49" s="172">
        <f t="shared" si="23"/>
        <v>1</v>
      </c>
      <c r="S49" s="173"/>
      <c r="T49" s="174">
        <f t="shared" si="19"/>
        <v>1</v>
      </c>
      <c r="U49" s="174"/>
      <c r="V49" s="175">
        <f t="shared" si="1"/>
        <v>0</v>
      </c>
      <c r="W49" s="171"/>
      <c r="X49" s="174">
        <f t="shared" si="20"/>
        <v>0</v>
      </c>
      <c r="Y49" s="174"/>
      <c r="Z49" s="174">
        <f t="shared" si="2"/>
        <v>0</v>
      </c>
      <c r="AA49" s="174"/>
      <c r="AB49" s="174">
        <f t="shared" si="3"/>
        <v>0</v>
      </c>
      <c r="AC49" s="174"/>
      <c r="AD49" s="174">
        <f t="shared" si="4"/>
        <v>0</v>
      </c>
      <c r="AE49" s="174"/>
      <c r="AF49" s="174">
        <f t="shared" si="5"/>
        <v>0</v>
      </c>
      <c r="AG49" s="174"/>
      <c r="AH49" s="174">
        <f t="shared" si="6"/>
        <v>0</v>
      </c>
      <c r="AI49" s="174"/>
      <c r="AJ49" s="174">
        <f t="shared" si="7"/>
        <v>0</v>
      </c>
      <c r="AK49" s="174"/>
      <c r="AL49" s="174">
        <f t="shared" si="8"/>
        <v>0</v>
      </c>
      <c r="AM49" s="174"/>
      <c r="AN49" s="174">
        <f t="shared" si="9"/>
        <v>0</v>
      </c>
      <c r="AO49" s="174"/>
      <c r="AP49" s="174">
        <f t="shared" si="10"/>
        <v>0</v>
      </c>
      <c r="AQ49" s="174"/>
      <c r="AR49" s="174">
        <f t="shared" si="11"/>
        <v>0</v>
      </c>
      <c r="AS49" s="174"/>
      <c r="AT49" s="174">
        <f t="shared" si="12"/>
        <v>0</v>
      </c>
      <c r="AU49" s="174"/>
      <c r="AV49" s="174">
        <f t="shared" si="13"/>
        <v>0</v>
      </c>
      <c r="AW49" s="174"/>
      <c r="AX49" s="174">
        <f t="shared" si="14"/>
        <v>0</v>
      </c>
      <c r="AY49" s="174"/>
      <c r="AZ49" s="174">
        <f t="shared" si="15"/>
        <v>0</v>
      </c>
    </row>
    <row r="50" spans="2:53" s="181" customFormat="1" x14ac:dyDescent="0.35">
      <c r="B50" s="180">
        <f t="shared" si="25"/>
        <v>40</v>
      </c>
      <c r="D50" s="182">
        <v>1</v>
      </c>
      <c r="E50" s="183"/>
      <c r="F50" s="135" t="str">
        <f t="shared" si="21"/>
        <v>x</v>
      </c>
      <c r="H50" s="181" t="s">
        <v>45</v>
      </c>
      <c r="J50" s="180">
        <v>1</v>
      </c>
      <c r="K50" s="136">
        <v>23</v>
      </c>
      <c r="L50" s="135">
        <f t="shared" si="22"/>
        <v>1</v>
      </c>
      <c r="M50" s="136"/>
      <c r="N50" s="279">
        <f t="shared" si="16"/>
        <v>-1999</v>
      </c>
      <c r="O50" s="238">
        <f t="shared" si="17"/>
        <v>2023</v>
      </c>
      <c r="P50" s="280">
        <f t="shared" si="18"/>
        <v>24</v>
      </c>
      <c r="Q50" s="136"/>
      <c r="R50" s="176">
        <f t="shared" si="23"/>
        <v>1</v>
      </c>
      <c r="S50" s="184"/>
      <c r="T50" s="185">
        <f t="shared" si="19"/>
        <v>1</v>
      </c>
      <c r="U50" s="185"/>
      <c r="V50" s="186">
        <f t="shared" si="1"/>
        <v>0</v>
      </c>
      <c r="W50" s="183"/>
      <c r="X50" s="185">
        <f t="shared" si="20"/>
        <v>0</v>
      </c>
      <c r="Y50" s="185"/>
      <c r="Z50" s="185">
        <f t="shared" si="2"/>
        <v>0</v>
      </c>
      <c r="AA50" s="185"/>
      <c r="AB50" s="185">
        <f t="shared" si="3"/>
        <v>0</v>
      </c>
      <c r="AC50" s="185"/>
      <c r="AD50" s="185">
        <f t="shared" si="4"/>
        <v>0</v>
      </c>
      <c r="AE50" s="185"/>
      <c r="AF50" s="185">
        <f t="shared" si="5"/>
        <v>0</v>
      </c>
      <c r="AG50" s="185"/>
      <c r="AH50" s="185">
        <f t="shared" si="6"/>
        <v>0</v>
      </c>
      <c r="AI50" s="185"/>
      <c r="AJ50" s="185">
        <f t="shared" si="7"/>
        <v>0</v>
      </c>
      <c r="AK50" s="185"/>
      <c r="AL50" s="185">
        <f t="shared" si="8"/>
        <v>0</v>
      </c>
      <c r="AM50" s="185"/>
      <c r="AN50" s="185">
        <f t="shared" si="9"/>
        <v>0</v>
      </c>
      <c r="AO50" s="185"/>
      <c r="AP50" s="185">
        <f t="shared" si="10"/>
        <v>0</v>
      </c>
      <c r="AQ50" s="185"/>
      <c r="AR50" s="185">
        <f t="shared" si="11"/>
        <v>0</v>
      </c>
      <c r="AS50" s="185"/>
      <c r="AT50" s="185">
        <f t="shared" si="12"/>
        <v>0</v>
      </c>
      <c r="AU50" s="185"/>
      <c r="AV50" s="185">
        <f t="shared" si="13"/>
        <v>0</v>
      </c>
      <c r="AW50" s="185"/>
      <c r="AX50" s="185">
        <f t="shared" si="14"/>
        <v>0</v>
      </c>
      <c r="AY50" s="185"/>
      <c r="AZ50" s="185">
        <f t="shared" si="15"/>
        <v>0</v>
      </c>
    </row>
    <row r="51" spans="2:53" ht="9.4" customHeight="1" x14ac:dyDescent="0.35">
      <c r="D51" s="137"/>
      <c r="P51" s="136"/>
      <c r="R51" s="189"/>
      <c r="S51" s="177"/>
      <c r="T51" s="190"/>
      <c r="U51" s="178"/>
      <c r="V51" s="190"/>
      <c r="W51" s="138"/>
      <c r="X51" s="190"/>
      <c r="Y51" s="178"/>
      <c r="Z51" s="190"/>
      <c r="AA51" s="178"/>
      <c r="AB51" s="190"/>
      <c r="AC51" s="178"/>
      <c r="AD51" s="190"/>
      <c r="AE51" s="178"/>
      <c r="AF51" s="190"/>
      <c r="AG51" s="178"/>
      <c r="AH51" s="190"/>
      <c r="AI51" s="178"/>
      <c r="AJ51" s="190"/>
      <c r="AK51" s="178"/>
      <c r="AL51" s="190"/>
      <c r="AM51" s="178"/>
      <c r="AN51" s="190"/>
      <c r="AO51" s="178"/>
      <c r="AP51" s="190"/>
      <c r="AQ51" s="178"/>
      <c r="AR51" s="190"/>
      <c r="AS51" s="178"/>
      <c r="AT51" s="190"/>
      <c r="AU51" s="178"/>
      <c r="AV51" s="190"/>
      <c r="AW51" s="178"/>
      <c r="AX51" s="190"/>
      <c r="AY51" s="178"/>
      <c r="AZ51" s="190"/>
    </row>
    <row r="52" spans="2:53" ht="24" thickBot="1" x14ac:dyDescent="0.4">
      <c r="D52" s="137"/>
      <c r="H52" s="141" t="s">
        <v>7</v>
      </c>
      <c r="R52" s="178"/>
      <c r="S52" s="178"/>
      <c r="T52" s="191">
        <f>SUM(T11:T50)</f>
        <v>40</v>
      </c>
      <c r="U52" s="178"/>
      <c r="V52" s="191">
        <f>SUM(V11:V50)</f>
        <v>0</v>
      </c>
      <c r="W52" s="138"/>
      <c r="X52" s="191">
        <f>SUM(X11:X50)</f>
        <v>0</v>
      </c>
      <c r="Y52" s="138"/>
      <c r="Z52" s="191">
        <f>SUM(Z11:Z50)</f>
        <v>0</v>
      </c>
      <c r="AA52" s="138"/>
      <c r="AB52" s="191">
        <f>SUM(AB11:AB50)</f>
        <v>0</v>
      </c>
      <c r="AC52" s="138"/>
      <c r="AD52" s="191">
        <f>SUM(AD11:AD50)</f>
        <v>0</v>
      </c>
      <c r="AE52" s="138"/>
      <c r="AF52" s="191">
        <f>SUM(AF11:AF50)</f>
        <v>0</v>
      </c>
      <c r="AG52" s="138"/>
      <c r="AH52" s="191">
        <f>SUM(AH11:AH50)</f>
        <v>0</v>
      </c>
      <c r="AI52" s="138"/>
      <c r="AJ52" s="191">
        <f>SUM(AJ11:AJ50)</f>
        <v>0</v>
      </c>
      <c r="AK52" s="138"/>
      <c r="AL52" s="191">
        <f>SUM(AL11:AL50)</f>
        <v>0</v>
      </c>
      <c r="AM52" s="138"/>
      <c r="AN52" s="191">
        <f>SUM(AN11:AN50)</f>
        <v>0</v>
      </c>
      <c r="AO52" s="138"/>
      <c r="AP52" s="191">
        <f>SUM(AP11:AP50)</f>
        <v>0</v>
      </c>
      <c r="AQ52" s="138"/>
      <c r="AR52" s="191">
        <f>SUM(AR11:AR50)</f>
        <v>0</v>
      </c>
      <c r="AS52" s="138"/>
      <c r="AT52" s="191">
        <f>SUM(AT11:AT50)</f>
        <v>0</v>
      </c>
      <c r="AU52" s="138"/>
      <c r="AV52" s="191">
        <f>SUM(AV11:AV50)</f>
        <v>0</v>
      </c>
      <c r="AW52" s="138"/>
      <c r="AX52" s="191">
        <f>SUM(AX11:AX50)</f>
        <v>0</v>
      </c>
      <c r="AY52" s="138"/>
      <c r="AZ52" s="191">
        <f>SUM(AZ11:AZ50)</f>
        <v>0</v>
      </c>
    </row>
    <row r="53" spans="2:53" ht="24" thickTop="1" x14ac:dyDescent="0.35">
      <c r="D53" s="137"/>
      <c r="H53" s="141"/>
      <c r="R53" s="178"/>
      <c r="S53" s="178"/>
      <c r="T53" s="192"/>
      <c r="U53" s="178"/>
      <c r="V53" s="192"/>
      <c r="W53" s="138"/>
      <c r="X53" s="192"/>
      <c r="Y53" s="138"/>
      <c r="Z53" s="192"/>
      <c r="AA53" s="138"/>
      <c r="AB53" s="192"/>
      <c r="AC53" s="138"/>
      <c r="AD53" s="192"/>
      <c r="AE53" s="138"/>
      <c r="AF53" s="192"/>
      <c r="AG53" s="138"/>
      <c r="AH53" s="192"/>
      <c r="AI53" s="138"/>
      <c r="AJ53" s="192"/>
      <c r="AK53" s="138"/>
      <c r="AL53" s="192"/>
      <c r="AM53" s="138"/>
      <c r="AN53" s="192"/>
      <c r="AO53" s="138"/>
      <c r="AP53" s="192"/>
      <c r="AQ53" s="138"/>
      <c r="AR53" s="192"/>
      <c r="AS53" s="138"/>
      <c r="AT53" s="192"/>
      <c r="AU53" s="138"/>
      <c r="AV53" s="192"/>
      <c r="AW53" s="138"/>
      <c r="AX53" s="192"/>
      <c r="AY53" s="138"/>
      <c r="AZ53" s="192"/>
    </row>
    <row r="54" spans="2:53" s="151" customFormat="1" x14ac:dyDescent="0.35">
      <c r="B54" s="193"/>
      <c r="C54" s="194"/>
      <c r="D54" s="195"/>
      <c r="E54" s="196"/>
      <c r="F54" s="193"/>
      <c r="G54" s="194"/>
      <c r="H54" s="194"/>
      <c r="I54" s="194"/>
      <c r="J54" s="193"/>
      <c r="K54" s="194"/>
      <c r="L54" s="193"/>
      <c r="M54" s="194"/>
      <c r="N54" s="193"/>
      <c r="O54" s="194"/>
      <c r="P54" s="197"/>
      <c r="Q54" s="194"/>
      <c r="R54" s="198"/>
      <c r="S54" s="194"/>
      <c r="T54" s="199"/>
      <c r="U54" s="200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201"/>
      <c r="AJ54" s="201"/>
      <c r="AK54" s="201"/>
      <c r="AL54" s="201"/>
      <c r="AM54" s="201"/>
      <c r="AN54" s="201"/>
      <c r="AO54" s="201"/>
      <c r="AP54" s="201"/>
      <c r="AQ54" s="201"/>
      <c r="AR54" s="201"/>
      <c r="AS54" s="201"/>
      <c r="AT54" s="201"/>
      <c r="AU54" s="201"/>
      <c r="AV54" s="201"/>
      <c r="AW54" s="201"/>
      <c r="AX54" s="201"/>
      <c r="AY54" s="201"/>
      <c r="AZ54" s="201"/>
      <c r="BA54" s="202"/>
    </row>
    <row r="55" spans="2:53" x14ac:dyDescent="0.35">
      <c r="B55" s="150"/>
      <c r="C55" s="151"/>
      <c r="D55" s="203"/>
      <c r="E55" s="179"/>
      <c r="F55" s="150"/>
      <c r="G55" s="151"/>
      <c r="H55" s="151"/>
      <c r="I55" s="151"/>
      <c r="J55" s="150"/>
      <c r="K55" s="151"/>
      <c r="L55" s="150"/>
      <c r="M55" s="151"/>
      <c r="N55" s="150"/>
      <c r="O55" s="151"/>
      <c r="P55" s="204"/>
      <c r="Q55" s="151"/>
      <c r="R55" s="205"/>
      <c r="S55" s="151"/>
      <c r="T55" s="206"/>
      <c r="U55" s="206"/>
      <c r="V55" s="151"/>
      <c r="W55" s="151"/>
      <c r="X55" s="151"/>
      <c r="Y55" s="151"/>
      <c r="Z55" s="151"/>
      <c r="AA55" s="151"/>
      <c r="AB55" s="151"/>
      <c r="AC55" s="151"/>
      <c r="AD55" s="151"/>
      <c r="AE55" s="151"/>
      <c r="AF55" s="151"/>
      <c r="AG55" s="151"/>
      <c r="AH55" s="151"/>
      <c r="AI55" s="151"/>
      <c r="AJ55" s="151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</row>
    <row r="56" spans="2:53" x14ac:dyDescent="0.35">
      <c r="B56" s="283" t="s">
        <v>0</v>
      </c>
      <c r="D56" s="137"/>
      <c r="I56" s="142"/>
      <c r="J56" s="142">
        <v>16</v>
      </c>
      <c r="K56" s="142"/>
      <c r="L56" s="142">
        <v>17</v>
      </c>
      <c r="M56" s="142"/>
      <c r="N56" s="142">
        <v>18</v>
      </c>
      <c r="O56" s="142"/>
      <c r="P56" s="142">
        <v>19</v>
      </c>
      <c r="Q56" s="142"/>
      <c r="R56" s="142">
        <v>20</v>
      </c>
      <c r="S56" s="142"/>
      <c r="T56" s="142">
        <f>+R56+1</f>
        <v>21</v>
      </c>
      <c r="U56" s="142"/>
      <c r="V56" s="142">
        <f>+T56+1</f>
        <v>22</v>
      </c>
      <c r="W56" s="142"/>
      <c r="X56" s="142">
        <f>+V56+1</f>
        <v>23</v>
      </c>
      <c r="Y56" s="142"/>
      <c r="Z56" s="142">
        <f>+X56+1</f>
        <v>24</v>
      </c>
      <c r="AA56" s="142"/>
      <c r="AB56" s="142">
        <f>+Z56+1</f>
        <v>25</v>
      </c>
      <c r="AD56" s="142">
        <f>+AB56+1</f>
        <v>26</v>
      </c>
      <c r="AF56" s="142">
        <f>+AD56+1</f>
        <v>27</v>
      </c>
      <c r="AH56" s="142">
        <f>+AF56+1</f>
        <v>28</v>
      </c>
      <c r="AJ56" s="142">
        <f>+AH56+1</f>
        <v>29</v>
      </c>
      <c r="AL56" s="142">
        <f>+AJ56+1</f>
        <v>30</v>
      </c>
    </row>
    <row r="57" spans="2:53" ht="27.75" customHeight="1" x14ac:dyDescent="0.35">
      <c r="B57" s="284"/>
      <c r="C57" s="155"/>
      <c r="D57" s="156" t="s">
        <v>30</v>
      </c>
      <c r="E57" s="157"/>
      <c r="F57" s="158" t="s">
        <v>1</v>
      </c>
      <c r="H57" s="158" t="s">
        <v>2</v>
      </c>
      <c r="I57" s="155"/>
      <c r="J57" s="158">
        <f>AZ7+1</f>
        <v>2039</v>
      </c>
      <c r="K57" s="158">
        <f>BA7+1</f>
        <v>1</v>
      </c>
      <c r="L57" s="158">
        <f t="shared" ref="L57:R57" si="26">J57+1</f>
        <v>2040</v>
      </c>
      <c r="M57" s="158">
        <f t="shared" si="26"/>
        <v>2</v>
      </c>
      <c r="N57" s="158">
        <f t="shared" si="26"/>
        <v>2041</v>
      </c>
      <c r="O57" s="158">
        <f t="shared" si="26"/>
        <v>3</v>
      </c>
      <c r="P57" s="158">
        <f t="shared" si="26"/>
        <v>2042</v>
      </c>
      <c r="Q57" s="158">
        <f t="shared" si="26"/>
        <v>4</v>
      </c>
      <c r="R57" s="158">
        <f t="shared" si="26"/>
        <v>2043</v>
      </c>
      <c r="S57" s="158"/>
      <c r="T57" s="158">
        <f>+R57+1</f>
        <v>2044</v>
      </c>
      <c r="U57" s="158">
        <f t="shared" ref="U57:AL57" si="27">S57+1</f>
        <v>1</v>
      </c>
      <c r="V57" s="158">
        <f t="shared" si="27"/>
        <v>2045</v>
      </c>
      <c r="W57" s="158">
        <f>U57+1</f>
        <v>2</v>
      </c>
      <c r="X57" s="158">
        <f>V57+1</f>
        <v>2046</v>
      </c>
      <c r="Y57" s="158">
        <f t="shared" si="27"/>
        <v>3</v>
      </c>
      <c r="Z57" s="158">
        <f t="shared" si="27"/>
        <v>2047</v>
      </c>
      <c r="AA57" s="158">
        <f t="shared" si="27"/>
        <v>4</v>
      </c>
      <c r="AB57" s="158">
        <f t="shared" si="27"/>
        <v>2048</v>
      </c>
      <c r="AD57" s="158">
        <f t="shared" si="27"/>
        <v>2049</v>
      </c>
      <c r="AF57" s="158">
        <f t="shared" si="27"/>
        <v>2050</v>
      </c>
      <c r="AH57" s="158">
        <f t="shared" si="27"/>
        <v>2051</v>
      </c>
      <c r="AJ57" s="158">
        <f t="shared" si="27"/>
        <v>2052</v>
      </c>
      <c r="AL57" s="158">
        <f t="shared" si="27"/>
        <v>2053</v>
      </c>
      <c r="AM57" s="155"/>
    </row>
    <row r="58" spans="2:53" ht="9.4" customHeight="1" x14ac:dyDescent="0.35">
      <c r="C58" s="155"/>
      <c r="D58" s="161"/>
      <c r="E58" s="157"/>
      <c r="F58" s="154"/>
      <c r="H58" s="154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M58" s="155"/>
    </row>
    <row r="59" spans="2:53" x14ac:dyDescent="0.35">
      <c r="D59" s="137"/>
      <c r="H59" s="144" t="str">
        <f>+H9</f>
        <v>Roofs</v>
      </c>
      <c r="K59" s="135"/>
      <c r="M59" s="135"/>
      <c r="O59" s="135"/>
      <c r="P59" s="135"/>
      <c r="Q59" s="135"/>
      <c r="R59" s="135"/>
      <c r="S59" s="137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</row>
    <row r="60" spans="2:53" ht="9.4" customHeight="1" x14ac:dyDescent="0.35">
      <c r="D60" s="137"/>
      <c r="H60" s="144"/>
      <c r="J60" s="167"/>
      <c r="K60" s="167"/>
      <c r="L60" s="167"/>
      <c r="M60" s="167"/>
      <c r="N60" s="167"/>
      <c r="O60" s="167"/>
      <c r="P60" s="167"/>
      <c r="Q60" s="167"/>
      <c r="R60" s="16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</row>
    <row r="61" spans="2:53" x14ac:dyDescent="0.35">
      <c r="B61" s="168">
        <f t="shared" ref="B61:B100" si="28">+B11</f>
        <v>1</v>
      </c>
      <c r="C61" s="169"/>
      <c r="D61" s="170">
        <f t="shared" ref="D61:D100" si="29">+D11</f>
        <v>1</v>
      </c>
      <c r="E61" s="171"/>
      <c r="F61" s="168" t="str">
        <f t="shared" ref="F61:F100" si="30">+F11</f>
        <v>x</v>
      </c>
      <c r="G61" s="169"/>
      <c r="H61" s="169" t="str">
        <f t="shared" ref="H61:H100" si="31">+H11</f>
        <v>x</v>
      </c>
      <c r="I61" s="169"/>
      <c r="J61" s="208">
        <f t="shared" ref="J61:J100" si="32">IF(J$56=$N11,FV($V$3,$N11-1,,-$T11,0),0)</f>
        <v>0</v>
      </c>
      <c r="K61" s="209"/>
      <c r="L61" s="208">
        <f t="shared" ref="L61:L100" si="33">IF(L$56=$N11,FV($V$3,$N11-1,,-$T11,0),0)</f>
        <v>0</v>
      </c>
      <c r="M61" s="209"/>
      <c r="N61" s="208">
        <f t="shared" ref="N61:N100" si="34">IF(N$56=$N11,FV($V$3,$N11-1,,-$T11,0),0)</f>
        <v>0</v>
      </c>
      <c r="O61" s="209"/>
      <c r="P61" s="208">
        <f t="shared" ref="P61:P100" si="35">IF(P$56=$N11,FV($V$3,$N11-1,,-$T11,0),0)</f>
        <v>0</v>
      </c>
      <c r="Q61" s="209"/>
      <c r="R61" s="208">
        <f t="shared" ref="R61:R100" si="36">IF(R$56=$N11,FV($V$3,$N11-1,,-$T11,0),0)</f>
        <v>0</v>
      </c>
      <c r="S61" s="209"/>
      <c r="T61" s="208">
        <f t="shared" ref="T61:T100" si="37">IF(T$56=$N11,FV($V$3,$N11-1,,-$T11,0),0)</f>
        <v>0</v>
      </c>
      <c r="U61" s="209"/>
      <c r="V61" s="208">
        <f t="shared" ref="V61:V100" si="38">IF(V$56=$N11,FV($V$3,$N11-1,,-$T11,0),0)</f>
        <v>0</v>
      </c>
      <c r="W61" s="209"/>
      <c r="X61" s="208">
        <f t="shared" ref="X61:X100" si="39">IF(X$56=$N11,FV($V$3,$N11-1,,-$T11,0),0)</f>
        <v>0</v>
      </c>
      <c r="Y61" s="209"/>
      <c r="Z61" s="208">
        <f t="shared" ref="Z61:Z100" si="40">IF(Z$56=$N11,FV($V$3,$N11-1,,-$T11,0),0)</f>
        <v>0</v>
      </c>
      <c r="AA61" s="209"/>
      <c r="AB61" s="208">
        <f t="shared" ref="AB61:AB100" si="41">IF(AB$56=$N11,FV($V$3,$N11-1,,-$T11,0),0)</f>
        <v>0</v>
      </c>
      <c r="AC61" s="209"/>
      <c r="AD61" s="208">
        <f t="shared" ref="AD61:AD100" si="42">IF(AD$56=$N11,FV($V$3,$N11-1,,-$T11,0),0)</f>
        <v>0</v>
      </c>
      <c r="AE61" s="209"/>
      <c r="AF61" s="208">
        <f t="shared" ref="AF61:AF100" si="43">IF(AF$56=$N11,FV($V$3,$N11-1,,-$T11,0),0)</f>
        <v>0</v>
      </c>
      <c r="AG61" s="209"/>
      <c r="AH61" s="208">
        <f t="shared" ref="AH61:AH100" si="44">IF(AH$56=$N11,FV($V$3,$N11-1,,-$T11,0),0)</f>
        <v>0</v>
      </c>
      <c r="AI61" s="209"/>
      <c r="AJ61" s="208">
        <f t="shared" ref="AJ61:AJ100" si="45">IF(AJ$56=$N11,FV($V$3,$N11-1,,-$T11,0),0)</f>
        <v>0</v>
      </c>
      <c r="AK61" s="209"/>
      <c r="AL61" s="208">
        <f t="shared" ref="AL61:AL100" si="46">IF(AL$56=$N11,FV($V$3,$N11-1,,-$T11,0),0)</f>
        <v>0</v>
      </c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</row>
    <row r="62" spans="2:53" x14ac:dyDescent="0.35">
      <c r="B62" s="168">
        <f t="shared" si="28"/>
        <v>2</v>
      </c>
      <c r="C62" s="169"/>
      <c r="D62" s="168">
        <f t="shared" si="29"/>
        <v>1</v>
      </c>
      <c r="E62" s="171"/>
      <c r="F62" s="168" t="str">
        <f t="shared" si="30"/>
        <v>x</v>
      </c>
      <c r="G62" s="169"/>
      <c r="H62" s="169" t="str">
        <f t="shared" si="31"/>
        <v>x</v>
      </c>
      <c r="I62" s="169"/>
      <c r="J62" s="208">
        <f t="shared" si="32"/>
        <v>0</v>
      </c>
      <c r="K62" s="208"/>
      <c r="L62" s="208">
        <f t="shared" si="33"/>
        <v>0</v>
      </c>
      <c r="M62" s="208"/>
      <c r="N62" s="208">
        <f t="shared" si="34"/>
        <v>0</v>
      </c>
      <c r="O62" s="208"/>
      <c r="P62" s="208">
        <f t="shared" si="35"/>
        <v>0</v>
      </c>
      <c r="Q62" s="208"/>
      <c r="R62" s="208">
        <f t="shared" si="36"/>
        <v>0</v>
      </c>
      <c r="S62" s="208"/>
      <c r="T62" s="208">
        <f t="shared" si="37"/>
        <v>0</v>
      </c>
      <c r="U62" s="208"/>
      <c r="V62" s="208">
        <f t="shared" si="38"/>
        <v>0</v>
      </c>
      <c r="W62" s="208"/>
      <c r="X62" s="208">
        <f t="shared" si="39"/>
        <v>0</v>
      </c>
      <c r="Y62" s="208"/>
      <c r="Z62" s="208">
        <f t="shared" si="40"/>
        <v>0</v>
      </c>
      <c r="AA62" s="208"/>
      <c r="AB62" s="208">
        <f t="shared" si="41"/>
        <v>0</v>
      </c>
      <c r="AC62" s="208"/>
      <c r="AD62" s="208">
        <f t="shared" si="42"/>
        <v>0</v>
      </c>
      <c r="AE62" s="208"/>
      <c r="AF62" s="208">
        <f t="shared" si="43"/>
        <v>0</v>
      </c>
      <c r="AG62" s="208"/>
      <c r="AH62" s="208">
        <f t="shared" si="44"/>
        <v>0</v>
      </c>
      <c r="AI62" s="208"/>
      <c r="AJ62" s="208">
        <f t="shared" si="45"/>
        <v>0</v>
      </c>
      <c r="AK62" s="208"/>
      <c r="AL62" s="208">
        <f t="shared" si="46"/>
        <v>0</v>
      </c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</row>
    <row r="63" spans="2:53" x14ac:dyDescent="0.35">
      <c r="B63" s="168">
        <f t="shared" si="28"/>
        <v>3</v>
      </c>
      <c r="C63" s="169"/>
      <c r="D63" s="168">
        <f t="shared" si="29"/>
        <v>1</v>
      </c>
      <c r="E63" s="171"/>
      <c r="F63" s="168" t="str">
        <f t="shared" si="30"/>
        <v>x</v>
      </c>
      <c r="G63" s="169"/>
      <c r="H63" s="169" t="str">
        <f t="shared" si="31"/>
        <v>x</v>
      </c>
      <c r="I63" s="169"/>
      <c r="J63" s="208">
        <f t="shared" si="32"/>
        <v>0</v>
      </c>
      <c r="K63" s="208"/>
      <c r="L63" s="208">
        <f t="shared" si="33"/>
        <v>0</v>
      </c>
      <c r="M63" s="208"/>
      <c r="N63" s="208">
        <f t="shared" si="34"/>
        <v>0</v>
      </c>
      <c r="O63" s="208"/>
      <c r="P63" s="208">
        <f t="shared" si="35"/>
        <v>0</v>
      </c>
      <c r="Q63" s="208"/>
      <c r="R63" s="208">
        <f t="shared" si="36"/>
        <v>0</v>
      </c>
      <c r="S63" s="208"/>
      <c r="T63" s="208">
        <f t="shared" si="37"/>
        <v>0</v>
      </c>
      <c r="U63" s="208"/>
      <c r="V63" s="208">
        <f t="shared" si="38"/>
        <v>0</v>
      </c>
      <c r="W63" s="208"/>
      <c r="X63" s="208">
        <f t="shared" si="39"/>
        <v>0</v>
      </c>
      <c r="Y63" s="208"/>
      <c r="Z63" s="208">
        <f t="shared" si="40"/>
        <v>0</v>
      </c>
      <c r="AA63" s="208"/>
      <c r="AB63" s="208">
        <f t="shared" si="41"/>
        <v>0</v>
      </c>
      <c r="AC63" s="208"/>
      <c r="AD63" s="208">
        <f t="shared" si="42"/>
        <v>0</v>
      </c>
      <c r="AE63" s="208"/>
      <c r="AF63" s="208">
        <f t="shared" si="43"/>
        <v>0</v>
      </c>
      <c r="AG63" s="208"/>
      <c r="AH63" s="208">
        <f t="shared" si="44"/>
        <v>0</v>
      </c>
      <c r="AI63" s="208"/>
      <c r="AJ63" s="208">
        <f t="shared" si="45"/>
        <v>0</v>
      </c>
      <c r="AK63" s="208"/>
      <c r="AL63" s="208">
        <f t="shared" si="46"/>
        <v>0</v>
      </c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</row>
    <row r="64" spans="2:53" x14ac:dyDescent="0.35">
      <c r="B64" s="135">
        <f t="shared" si="28"/>
        <v>4</v>
      </c>
      <c r="D64" s="135">
        <f t="shared" si="29"/>
        <v>1</v>
      </c>
      <c r="F64" s="135" t="str">
        <f t="shared" si="30"/>
        <v>x</v>
      </c>
      <c r="H64" s="136" t="str">
        <f t="shared" si="31"/>
        <v>x</v>
      </c>
      <c r="J64" s="210">
        <f t="shared" si="32"/>
        <v>0</v>
      </c>
      <c r="K64" s="210"/>
      <c r="L64" s="210">
        <f t="shared" si="33"/>
        <v>0</v>
      </c>
      <c r="M64" s="210"/>
      <c r="N64" s="210">
        <f t="shared" si="34"/>
        <v>0</v>
      </c>
      <c r="O64" s="210"/>
      <c r="P64" s="210">
        <f t="shared" si="35"/>
        <v>0</v>
      </c>
      <c r="Q64" s="210"/>
      <c r="R64" s="210">
        <f t="shared" si="36"/>
        <v>0</v>
      </c>
      <c r="S64" s="210"/>
      <c r="T64" s="210">
        <f t="shared" si="37"/>
        <v>0</v>
      </c>
      <c r="U64" s="210"/>
      <c r="V64" s="210">
        <f t="shared" si="38"/>
        <v>0</v>
      </c>
      <c r="W64" s="210"/>
      <c r="X64" s="210">
        <f t="shared" si="39"/>
        <v>0</v>
      </c>
      <c r="Y64" s="210"/>
      <c r="Z64" s="210">
        <f t="shared" si="40"/>
        <v>0</v>
      </c>
      <c r="AA64" s="210"/>
      <c r="AB64" s="210">
        <f t="shared" si="41"/>
        <v>0</v>
      </c>
      <c r="AC64" s="210"/>
      <c r="AD64" s="210">
        <f t="shared" si="42"/>
        <v>0</v>
      </c>
      <c r="AE64" s="210"/>
      <c r="AF64" s="210">
        <f t="shared" si="43"/>
        <v>0</v>
      </c>
      <c r="AG64" s="210"/>
      <c r="AH64" s="210">
        <f t="shared" si="44"/>
        <v>0</v>
      </c>
      <c r="AI64" s="210"/>
      <c r="AJ64" s="210">
        <f t="shared" si="45"/>
        <v>0</v>
      </c>
      <c r="AK64" s="210"/>
      <c r="AL64" s="210">
        <f t="shared" si="46"/>
        <v>0</v>
      </c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</row>
    <row r="65" spans="2:53" x14ac:dyDescent="0.35">
      <c r="B65" s="135">
        <f t="shared" si="28"/>
        <v>5</v>
      </c>
      <c r="D65" s="135">
        <f t="shared" si="29"/>
        <v>1</v>
      </c>
      <c r="F65" s="135" t="str">
        <f t="shared" si="30"/>
        <v>x</v>
      </c>
      <c r="H65" s="136" t="str">
        <f t="shared" si="31"/>
        <v>x</v>
      </c>
      <c r="J65" s="210">
        <f t="shared" si="32"/>
        <v>0</v>
      </c>
      <c r="K65" s="210"/>
      <c r="L65" s="210">
        <f t="shared" si="33"/>
        <v>0</v>
      </c>
      <c r="M65" s="210"/>
      <c r="N65" s="210">
        <f t="shared" si="34"/>
        <v>0</v>
      </c>
      <c r="O65" s="210"/>
      <c r="P65" s="210">
        <f t="shared" si="35"/>
        <v>0</v>
      </c>
      <c r="Q65" s="210"/>
      <c r="R65" s="210">
        <f t="shared" si="36"/>
        <v>0</v>
      </c>
      <c r="S65" s="210"/>
      <c r="T65" s="210">
        <f t="shared" si="37"/>
        <v>0</v>
      </c>
      <c r="U65" s="210"/>
      <c r="V65" s="210">
        <f t="shared" si="38"/>
        <v>0</v>
      </c>
      <c r="W65" s="210"/>
      <c r="X65" s="210">
        <f t="shared" si="39"/>
        <v>0</v>
      </c>
      <c r="Y65" s="210"/>
      <c r="Z65" s="210">
        <f t="shared" si="40"/>
        <v>0</v>
      </c>
      <c r="AA65" s="210"/>
      <c r="AB65" s="210">
        <f t="shared" si="41"/>
        <v>0</v>
      </c>
      <c r="AC65" s="210"/>
      <c r="AD65" s="210">
        <f t="shared" si="42"/>
        <v>0</v>
      </c>
      <c r="AE65" s="210"/>
      <c r="AF65" s="210">
        <f t="shared" si="43"/>
        <v>0</v>
      </c>
      <c r="AG65" s="210"/>
      <c r="AH65" s="210">
        <f t="shared" si="44"/>
        <v>0</v>
      </c>
      <c r="AI65" s="210"/>
      <c r="AJ65" s="210">
        <f t="shared" si="45"/>
        <v>0</v>
      </c>
      <c r="AK65" s="210"/>
      <c r="AL65" s="210">
        <f t="shared" si="46"/>
        <v>0</v>
      </c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</row>
    <row r="66" spans="2:53" x14ac:dyDescent="0.35">
      <c r="B66" s="135">
        <f t="shared" si="28"/>
        <v>6</v>
      </c>
      <c r="D66" s="135">
        <f t="shared" si="29"/>
        <v>1</v>
      </c>
      <c r="F66" s="135" t="str">
        <f t="shared" si="30"/>
        <v>x</v>
      </c>
      <c r="H66" s="211" t="str">
        <f t="shared" si="31"/>
        <v>x</v>
      </c>
      <c r="J66" s="210">
        <f t="shared" si="32"/>
        <v>0</v>
      </c>
      <c r="K66" s="210"/>
      <c r="L66" s="210">
        <f t="shared" si="33"/>
        <v>0</v>
      </c>
      <c r="M66" s="210"/>
      <c r="N66" s="210">
        <f t="shared" si="34"/>
        <v>0</v>
      </c>
      <c r="O66" s="210"/>
      <c r="P66" s="210">
        <f t="shared" si="35"/>
        <v>0</v>
      </c>
      <c r="Q66" s="210"/>
      <c r="R66" s="210">
        <f t="shared" si="36"/>
        <v>0</v>
      </c>
      <c r="S66" s="210"/>
      <c r="T66" s="210">
        <f t="shared" si="37"/>
        <v>0</v>
      </c>
      <c r="U66" s="210"/>
      <c r="V66" s="210">
        <f t="shared" si="38"/>
        <v>0</v>
      </c>
      <c r="W66" s="210"/>
      <c r="X66" s="210">
        <f t="shared" si="39"/>
        <v>0</v>
      </c>
      <c r="Y66" s="210"/>
      <c r="Z66" s="210">
        <f t="shared" si="40"/>
        <v>0</v>
      </c>
      <c r="AA66" s="210"/>
      <c r="AB66" s="210">
        <f t="shared" si="41"/>
        <v>0</v>
      </c>
      <c r="AC66" s="210"/>
      <c r="AD66" s="210">
        <f t="shared" si="42"/>
        <v>0</v>
      </c>
      <c r="AE66" s="210"/>
      <c r="AF66" s="210">
        <f t="shared" si="43"/>
        <v>0</v>
      </c>
      <c r="AG66" s="210"/>
      <c r="AH66" s="210">
        <f t="shared" si="44"/>
        <v>0</v>
      </c>
      <c r="AI66" s="210"/>
      <c r="AJ66" s="210">
        <f t="shared" si="45"/>
        <v>0</v>
      </c>
      <c r="AK66" s="210"/>
      <c r="AL66" s="210">
        <f t="shared" si="46"/>
        <v>0</v>
      </c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</row>
    <row r="67" spans="2:53" x14ac:dyDescent="0.35">
      <c r="B67" s="168">
        <f t="shared" si="28"/>
        <v>7</v>
      </c>
      <c r="C67" s="169"/>
      <c r="D67" s="168">
        <f t="shared" si="29"/>
        <v>1</v>
      </c>
      <c r="E67" s="171"/>
      <c r="F67" s="168" t="str">
        <f t="shared" si="30"/>
        <v>x</v>
      </c>
      <c r="G67" s="169"/>
      <c r="H67" s="212" t="str">
        <f t="shared" si="31"/>
        <v>x</v>
      </c>
      <c r="I67" s="169"/>
      <c r="J67" s="208">
        <f t="shared" si="32"/>
        <v>0</v>
      </c>
      <c r="K67" s="208"/>
      <c r="L67" s="208">
        <f t="shared" si="33"/>
        <v>0</v>
      </c>
      <c r="M67" s="208"/>
      <c r="N67" s="208">
        <f t="shared" si="34"/>
        <v>0</v>
      </c>
      <c r="O67" s="208"/>
      <c r="P67" s="208">
        <f t="shared" si="35"/>
        <v>0</v>
      </c>
      <c r="Q67" s="208"/>
      <c r="R67" s="208">
        <f t="shared" si="36"/>
        <v>0</v>
      </c>
      <c r="S67" s="208"/>
      <c r="T67" s="208">
        <f t="shared" si="37"/>
        <v>0</v>
      </c>
      <c r="U67" s="208"/>
      <c r="V67" s="208">
        <f t="shared" si="38"/>
        <v>0</v>
      </c>
      <c r="W67" s="208"/>
      <c r="X67" s="208">
        <f t="shared" si="39"/>
        <v>0</v>
      </c>
      <c r="Y67" s="208"/>
      <c r="Z67" s="208">
        <f t="shared" si="40"/>
        <v>0</v>
      </c>
      <c r="AA67" s="208"/>
      <c r="AB67" s="208">
        <f t="shared" si="41"/>
        <v>0</v>
      </c>
      <c r="AC67" s="208"/>
      <c r="AD67" s="208">
        <f t="shared" si="42"/>
        <v>0</v>
      </c>
      <c r="AE67" s="208"/>
      <c r="AF67" s="208">
        <f t="shared" si="43"/>
        <v>0</v>
      </c>
      <c r="AG67" s="208"/>
      <c r="AH67" s="208">
        <f t="shared" si="44"/>
        <v>0</v>
      </c>
      <c r="AI67" s="208"/>
      <c r="AJ67" s="208">
        <f t="shared" si="45"/>
        <v>0</v>
      </c>
      <c r="AK67" s="208"/>
      <c r="AL67" s="208">
        <f t="shared" si="46"/>
        <v>0</v>
      </c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</row>
    <row r="68" spans="2:53" x14ac:dyDescent="0.35">
      <c r="B68" s="168">
        <f t="shared" si="28"/>
        <v>8</v>
      </c>
      <c r="C68" s="169"/>
      <c r="D68" s="168">
        <f t="shared" si="29"/>
        <v>1</v>
      </c>
      <c r="E68" s="171"/>
      <c r="F68" s="168" t="str">
        <f t="shared" si="30"/>
        <v>x</v>
      </c>
      <c r="G68" s="169"/>
      <c r="H68" s="169" t="str">
        <f t="shared" si="31"/>
        <v>x</v>
      </c>
      <c r="I68" s="169"/>
      <c r="J68" s="208">
        <f t="shared" si="32"/>
        <v>0</v>
      </c>
      <c r="K68" s="208"/>
      <c r="L68" s="208">
        <f t="shared" si="33"/>
        <v>0</v>
      </c>
      <c r="M68" s="208"/>
      <c r="N68" s="208">
        <f t="shared" si="34"/>
        <v>0</v>
      </c>
      <c r="O68" s="208"/>
      <c r="P68" s="208">
        <f t="shared" si="35"/>
        <v>0</v>
      </c>
      <c r="Q68" s="208"/>
      <c r="R68" s="208">
        <f t="shared" si="36"/>
        <v>0</v>
      </c>
      <c r="S68" s="208"/>
      <c r="T68" s="208">
        <f t="shared" si="37"/>
        <v>0</v>
      </c>
      <c r="U68" s="208"/>
      <c r="V68" s="208">
        <f t="shared" si="38"/>
        <v>0</v>
      </c>
      <c r="W68" s="208"/>
      <c r="X68" s="208">
        <f t="shared" si="39"/>
        <v>0</v>
      </c>
      <c r="Y68" s="208"/>
      <c r="Z68" s="208">
        <f t="shared" si="40"/>
        <v>0</v>
      </c>
      <c r="AA68" s="208"/>
      <c r="AB68" s="208">
        <f t="shared" si="41"/>
        <v>0</v>
      </c>
      <c r="AC68" s="208"/>
      <c r="AD68" s="208">
        <f t="shared" si="42"/>
        <v>0</v>
      </c>
      <c r="AE68" s="208"/>
      <c r="AF68" s="208">
        <f t="shared" si="43"/>
        <v>0</v>
      </c>
      <c r="AG68" s="208"/>
      <c r="AH68" s="208">
        <f t="shared" si="44"/>
        <v>0</v>
      </c>
      <c r="AI68" s="208"/>
      <c r="AJ68" s="208">
        <f t="shared" si="45"/>
        <v>0</v>
      </c>
      <c r="AK68" s="208"/>
      <c r="AL68" s="208">
        <f t="shared" si="46"/>
        <v>0</v>
      </c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</row>
    <row r="69" spans="2:53" x14ac:dyDescent="0.35">
      <c r="B69" s="168">
        <f t="shared" si="28"/>
        <v>9</v>
      </c>
      <c r="C69" s="169"/>
      <c r="D69" s="168">
        <f t="shared" si="29"/>
        <v>1</v>
      </c>
      <c r="E69" s="171"/>
      <c r="F69" s="168" t="str">
        <f t="shared" si="30"/>
        <v>x</v>
      </c>
      <c r="G69" s="169"/>
      <c r="H69" s="169" t="str">
        <f t="shared" si="31"/>
        <v>x</v>
      </c>
      <c r="I69" s="169"/>
      <c r="J69" s="208">
        <f t="shared" si="32"/>
        <v>0</v>
      </c>
      <c r="K69" s="208"/>
      <c r="L69" s="208">
        <f t="shared" si="33"/>
        <v>0</v>
      </c>
      <c r="M69" s="208"/>
      <c r="N69" s="208">
        <f t="shared" si="34"/>
        <v>0</v>
      </c>
      <c r="O69" s="208"/>
      <c r="P69" s="208">
        <f t="shared" si="35"/>
        <v>0</v>
      </c>
      <c r="Q69" s="208"/>
      <c r="R69" s="208">
        <f t="shared" si="36"/>
        <v>0</v>
      </c>
      <c r="S69" s="208"/>
      <c r="T69" s="208">
        <f t="shared" si="37"/>
        <v>0</v>
      </c>
      <c r="U69" s="208"/>
      <c r="V69" s="208">
        <f t="shared" si="38"/>
        <v>0</v>
      </c>
      <c r="W69" s="208"/>
      <c r="X69" s="208">
        <f t="shared" si="39"/>
        <v>0</v>
      </c>
      <c r="Y69" s="208"/>
      <c r="Z69" s="208">
        <f t="shared" si="40"/>
        <v>0</v>
      </c>
      <c r="AA69" s="208"/>
      <c r="AB69" s="208">
        <f t="shared" si="41"/>
        <v>0</v>
      </c>
      <c r="AC69" s="208"/>
      <c r="AD69" s="208">
        <f t="shared" si="42"/>
        <v>0</v>
      </c>
      <c r="AE69" s="208"/>
      <c r="AF69" s="208">
        <f t="shared" si="43"/>
        <v>0</v>
      </c>
      <c r="AG69" s="208"/>
      <c r="AH69" s="208">
        <f t="shared" si="44"/>
        <v>0</v>
      </c>
      <c r="AI69" s="208"/>
      <c r="AJ69" s="208">
        <f t="shared" si="45"/>
        <v>0</v>
      </c>
      <c r="AK69" s="208"/>
      <c r="AL69" s="208">
        <f t="shared" si="46"/>
        <v>0</v>
      </c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</row>
    <row r="70" spans="2:53" s="181" customFormat="1" x14ac:dyDescent="0.35">
      <c r="B70" s="180">
        <f t="shared" si="28"/>
        <v>10</v>
      </c>
      <c r="D70" s="180">
        <f t="shared" si="29"/>
        <v>1</v>
      </c>
      <c r="E70" s="183"/>
      <c r="F70" s="135" t="str">
        <f t="shared" si="30"/>
        <v>x</v>
      </c>
      <c r="H70" s="181" t="str">
        <f t="shared" si="31"/>
        <v>x</v>
      </c>
      <c r="J70" s="213">
        <f t="shared" si="32"/>
        <v>0</v>
      </c>
      <c r="K70" s="213"/>
      <c r="L70" s="213">
        <f t="shared" si="33"/>
        <v>0</v>
      </c>
      <c r="M70" s="213"/>
      <c r="N70" s="213">
        <f t="shared" si="34"/>
        <v>0</v>
      </c>
      <c r="O70" s="213"/>
      <c r="P70" s="213">
        <f t="shared" si="35"/>
        <v>0</v>
      </c>
      <c r="Q70" s="213"/>
      <c r="R70" s="213">
        <f t="shared" si="36"/>
        <v>0</v>
      </c>
      <c r="S70" s="213"/>
      <c r="T70" s="213">
        <f t="shared" si="37"/>
        <v>0</v>
      </c>
      <c r="U70" s="213"/>
      <c r="V70" s="213">
        <f t="shared" si="38"/>
        <v>0</v>
      </c>
      <c r="W70" s="213"/>
      <c r="X70" s="213">
        <f t="shared" si="39"/>
        <v>0</v>
      </c>
      <c r="Y70" s="213"/>
      <c r="Z70" s="213">
        <f t="shared" si="40"/>
        <v>0</v>
      </c>
      <c r="AA70" s="213"/>
      <c r="AB70" s="213">
        <f t="shared" si="41"/>
        <v>0</v>
      </c>
      <c r="AC70" s="213"/>
      <c r="AD70" s="213">
        <f t="shared" si="42"/>
        <v>0</v>
      </c>
      <c r="AE70" s="213"/>
      <c r="AF70" s="213">
        <f t="shared" si="43"/>
        <v>0</v>
      </c>
      <c r="AG70" s="213"/>
      <c r="AH70" s="213">
        <f t="shared" si="44"/>
        <v>0</v>
      </c>
      <c r="AI70" s="213"/>
      <c r="AJ70" s="213">
        <f t="shared" si="45"/>
        <v>0</v>
      </c>
      <c r="AK70" s="213"/>
      <c r="AL70" s="213">
        <f t="shared" si="46"/>
        <v>0</v>
      </c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</row>
    <row r="71" spans="2:53" s="181" customFormat="1" x14ac:dyDescent="0.35">
      <c r="B71" s="180">
        <f t="shared" si="28"/>
        <v>11</v>
      </c>
      <c r="D71" s="180">
        <f t="shared" si="29"/>
        <v>1</v>
      </c>
      <c r="E71" s="183"/>
      <c r="F71" s="135" t="str">
        <f t="shared" si="30"/>
        <v>x</v>
      </c>
      <c r="H71" s="181" t="str">
        <f t="shared" si="31"/>
        <v>x</v>
      </c>
      <c r="J71" s="213">
        <f t="shared" si="32"/>
        <v>0</v>
      </c>
      <c r="K71" s="213"/>
      <c r="L71" s="213">
        <f t="shared" si="33"/>
        <v>0</v>
      </c>
      <c r="M71" s="213"/>
      <c r="N71" s="213">
        <f t="shared" si="34"/>
        <v>0</v>
      </c>
      <c r="O71" s="213"/>
      <c r="P71" s="213">
        <f t="shared" si="35"/>
        <v>0</v>
      </c>
      <c r="Q71" s="213"/>
      <c r="R71" s="213">
        <f t="shared" si="36"/>
        <v>0</v>
      </c>
      <c r="S71" s="213"/>
      <c r="T71" s="213">
        <f t="shared" si="37"/>
        <v>0</v>
      </c>
      <c r="U71" s="213"/>
      <c r="V71" s="213">
        <f t="shared" si="38"/>
        <v>0</v>
      </c>
      <c r="W71" s="213"/>
      <c r="X71" s="213">
        <f t="shared" si="39"/>
        <v>0</v>
      </c>
      <c r="Y71" s="213"/>
      <c r="Z71" s="213">
        <f t="shared" si="40"/>
        <v>0</v>
      </c>
      <c r="AA71" s="213"/>
      <c r="AB71" s="213">
        <f t="shared" si="41"/>
        <v>0</v>
      </c>
      <c r="AC71" s="213"/>
      <c r="AD71" s="213">
        <f t="shared" si="42"/>
        <v>0</v>
      </c>
      <c r="AE71" s="213"/>
      <c r="AF71" s="213">
        <f t="shared" si="43"/>
        <v>0</v>
      </c>
      <c r="AG71" s="213"/>
      <c r="AH71" s="213">
        <f t="shared" si="44"/>
        <v>0</v>
      </c>
      <c r="AI71" s="213"/>
      <c r="AJ71" s="213">
        <f t="shared" si="45"/>
        <v>0</v>
      </c>
      <c r="AK71" s="213"/>
      <c r="AL71" s="213">
        <f t="shared" si="46"/>
        <v>0</v>
      </c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</row>
    <row r="72" spans="2:53" s="181" customFormat="1" x14ac:dyDescent="0.35">
      <c r="B72" s="180">
        <f t="shared" si="28"/>
        <v>12</v>
      </c>
      <c r="D72" s="180">
        <f t="shared" si="29"/>
        <v>1</v>
      </c>
      <c r="E72" s="183"/>
      <c r="F72" s="135" t="str">
        <f t="shared" si="30"/>
        <v>x</v>
      </c>
      <c r="H72" s="181" t="str">
        <f t="shared" si="31"/>
        <v>x</v>
      </c>
      <c r="J72" s="213">
        <f t="shared" si="32"/>
        <v>0</v>
      </c>
      <c r="K72" s="213"/>
      <c r="L72" s="213">
        <f t="shared" si="33"/>
        <v>0</v>
      </c>
      <c r="M72" s="213"/>
      <c r="N72" s="213">
        <f t="shared" si="34"/>
        <v>0</v>
      </c>
      <c r="O72" s="213"/>
      <c r="P72" s="213">
        <f t="shared" si="35"/>
        <v>0</v>
      </c>
      <c r="Q72" s="213"/>
      <c r="R72" s="213">
        <f t="shared" si="36"/>
        <v>0</v>
      </c>
      <c r="S72" s="213"/>
      <c r="T72" s="213">
        <f t="shared" si="37"/>
        <v>0</v>
      </c>
      <c r="U72" s="213"/>
      <c r="V72" s="213">
        <f t="shared" si="38"/>
        <v>0</v>
      </c>
      <c r="W72" s="213"/>
      <c r="X72" s="213">
        <f t="shared" si="39"/>
        <v>0</v>
      </c>
      <c r="Y72" s="213"/>
      <c r="Z72" s="213">
        <f t="shared" si="40"/>
        <v>0</v>
      </c>
      <c r="AA72" s="213"/>
      <c r="AB72" s="213">
        <f t="shared" si="41"/>
        <v>0</v>
      </c>
      <c r="AC72" s="213"/>
      <c r="AD72" s="213">
        <f t="shared" si="42"/>
        <v>0</v>
      </c>
      <c r="AE72" s="213"/>
      <c r="AF72" s="213">
        <f t="shared" si="43"/>
        <v>0</v>
      </c>
      <c r="AG72" s="213"/>
      <c r="AH72" s="213">
        <f t="shared" si="44"/>
        <v>0</v>
      </c>
      <c r="AI72" s="213"/>
      <c r="AJ72" s="213">
        <f t="shared" si="45"/>
        <v>0</v>
      </c>
      <c r="AK72" s="213"/>
      <c r="AL72" s="213">
        <f t="shared" si="46"/>
        <v>0</v>
      </c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</row>
    <row r="73" spans="2:53" x14ac:dyDescent="0.35">
      <c r="B73" s="168">
        <f t="shared" si="28"/>
        <v>13</v>
      </c>
      <c r="C73" s="169"/>
      <c r="D73" s="168">
        <f t="shared" si="29"/>
        <v>1</v>
      </c>
      <c r="E73" s="171"/>
      <c r="F73" s="168" t="str">
        <f t="shared" si="30"/>
        <v>x</v>
      </c>
      <c r="G73" s="169"/>
      <c r="H73" s="169" t="str">
        <f t="shared" si="31"/>
        <v>x</v>
      </c>
      <c r="I73" s="169"/>
      <c r="J73" s="208">
        <f t="shared" si="32"/>
        <v>0</v>
      </c>
      <c r="K73" s="208"/>
      <c r="L73" s="208">
        <f t="shared" si="33"/>
        <v>0</v>
      </c>
      <c r="M73" s="208"/>
      <c r="N73" s="208">
        <f t="shared" si="34"/>
        <v>0</v>
      </c>
      <c r="O73" s="208"/>
      <c r="P73" s="208">
        <f t="shared" si="35"/>
        <v>0</v>
      </c>
      <c r="Q73" s="208"/>
      <c r="R73" s="208">
        <f t="shared" si="36"/>
        <v>0</v>
      </c>
      <c r="S73" s="208"/>
      <c r="T73" s="208">
        <f t="shared" si="37"/>
        <v>0</v>
      </c>
      <c r="U73" s="208"/>
      <c r="V73" s="208">
        <f t="shared" si="38"/>
        <v>0</v>
      </c>
      <c r="W73" s="208"/>
      <c r="X73" s="208">
        <f t="shared" si="39"/>
        <v>0</v>
      </c>
      <c r="Y73" s="208"/>
      <c r="Z73" s="208">
        <f t="shared" si="40"/>
        <v>0</v>
      </c>
      <c r="AA73" s="208"/>
      <c r="AB73" s="208">
        <f t="shared" si="41"/>
        <v>0</v>
      </c>
      <c r="AC73" s="208"/>
      <c r="AD73" s="208">
        <f t="shared" si="42"/>
        <v>0</v>
      </c>
      <c r="AE73" s="208"/>
      <c r="AF73" s="208">
        <f t="shared" si="43"/>
        <v>0</v>
      </c>
      <c r="AG73" s="208"/>
      <c r="AH73" s="208">
        <f t="shared" si="44"/>
        <v>0</v>
      </c>
      <c r="AI73" s="208"/>
      <c r="AJ73" s="208">
        <f t="shared" si="45"/>
        <v>0</v>
      </c>
      <c r="AK73" s="208"/>
      <c r="AL73" s="208">
        <f t="shared" si="46"/>
        <v>0</v>
      </c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</row>
    <row r="74" spans="2:53" x14ac:dyDescent="0.35">
      <c r="B74" s="168">
        <f t="shared" si="28"/>
        <v>14</v>
      </c>
      <c r="C74" s="169"/>
      <c r="D74" s="168">
        <f t="shared" si="29"/>
        <v>1</v>
      </c>
      <c r="E74" s="171"/>
      <c r="F74" s="168" t="str">
        <f t="shared" si="30"/>
        <v>x</v>
      </c>
      <c r="G74" s="169"/>
      <c r="H74" s="169" t="str">
        <f t="shared" si="31"/>
        <v>x</v>
      </c>
      <c r="I74" s="169"/>
      <c r="J74" s="208">
        <f t="shared" si="32"/>
        <v>0</v>
      </c>
      <c r="K74" s="208"/>
      <c r="L74" s="208">
        <f t="shared" si="33"/>
        <v>0</v>
      </c>
      <c r="M74" s="208"/>
      <c r="N74" s="208">
        <f t="shared" si="34"/>
        <v>0</v>
      </c>
      <c r="O74" s="208"/>
      <c r="P74" s="208">
        <f t="shared" si="35"/>
        <v>0</v>
      </c>
      <c r="Q74" s="208"/>
      <c r="R74" s="208">
        <f t="shared" si="36"/>
        <v>0</v>
      </c>
      <c r="S74" s="208"/>
      <c r="T74" s="208">
        <f t="shared" si="37"/>
        <v>0</v>
      </c>
      <c r="U74" s="208"/>
      <c r="V74" s="208">
        <f t="shared" si="38"/>
        <v>0</v>
      </c>
      <c r="W74" s="208"/>
      <c r="X74" s="208">
        <f t="shared" si="39"/>
        <v>0</v>
      </c>
      <c r="Y74" s="208"/>
      <c r="Z74" s="208">
        <f t="shared" si="40"/>
        <v>0</v>
      </c>
      <c r="AA74" s="208"/>
      <c r="AB74" s="208">
        <f t="shared" si="41"/>
        <v>0</v>
      </c>
      <c r="AC74" s="208"/>
      <c r="AD74" s="208">
        <f t="shared" si="42"/>
        <v>0</v>
      </c>
      <c r="AE74" s="208"/>
      <c r="AF74" s="208">
        <f t="shared" si="43"/>
        <v>0</v>
      </c>
      <c r="AG74" s="208"/>
      <c r="AH74" s="208">
        <f t="shared" si="44"/>
        <v>0</v>
      </c>
      <c r="AI74" s="208"/>
      <c r="AJ74" s="208">
        <f t="shared" si="45"/>
        <v>0</v>
      </c>
      <c r="AK74" s="208"/>
      <c r="AL74" s="208">
        <f t="shared" si="46"/>
        <v>0</v>
      </c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</row>
    <row r="75" spans="2:53" x14ac:dyDescent="0.35">
      <c r="B75" s="168">
        <f t="shared" si="28"/>
        <v>15</v>
      </c>
      <c r="C75" s="169"/>
      <c r="D75" s="168">
        <f t="shared" si="29"/>
        <v>1</v>
      </c>
      <c r="E75" s="171"/>
      <c r="F75" s="168" t="str">
        <f t="shared" si="30"/>
        <v>x</v>
      </c>
      <c r="G75" s="169"/>
      <c r="H75" s="169" t="str">
        <f t="shared" si="31"/>
        <v>x</v>
      </c>
      <c r="I75" s="169"/>
      <c r="J75" s="208">
        <f t="shared" si="32"/>
        <v>0</v>
      </c>
      <c r="K75" s="208"/>
      <c r="L75" s="208">
        <f t="shared" si="33"/>
        <v>0</v>
      </c>
      <c r="M75" s="208"/>
      <c r="N75" s="208">
        <f t="shared" si="34"/>
        <v>0</v>
      </c>
      <c r="O75" s="208"/>
      <c r="P75" s="208">
        <f t="shared" si="35"/>
        <v>0</v>
      </c>
      <c r="Q75" s="208"/>
      <c r="R75" s="208">
        <f t="shared" si="36"/>
        <v>0</v>
      </c>
      <c r="S75" s="208"/>
      <c r="T75" s="208">
        <f t="shared" si="37"/>
        <v>0</v>
      </c>
      <c r="U75" s="208"/>
      <c r="V75" s="208">
        <f t="shared" si="38"/>
        <v>0</v>
      </c>
      <c r="W75" s="208"/>
      <c r="X75" s="208">
        <f t="shared" si="39"/>
        <v>0</v>
      </c>
      <c r="Y75" s="208"/>
      <c r="Z75" s="208">
        <f t="shared" si="40"/>
        <v>0</v>
      </c>
      <c r="AA75" s="208"/>
      <c r="AB75" s="208">
        <f t="shared" si="41"/>
        <v>0</v>
      </c>
      <c r="AC75" s="208"/>
      <c r="AD75" s="208">
        <f t="shared" si="42"/>
        <v>0</v>
      </c>
      <c r="AE75" s="208"/>
      <c r="AF75" s="208">
        <f t="shared" si="43"/>
        <v>0</v>
      </c>
      <c r="AG75" s="208"/>
      <c r="AH75" s="208">
        <f t="shared" si="44"/>
        <v>0</v>
      </c>
      <c r="AI75" s="208"/>
      <c r="AJ75" s="208">
        <f t="shared" si="45"/>
        <v>0</v>
      </c>
      <c r="AK75" s="208"/>
      <c r="AL75" s="208">
        <f t="shared" si="46"/>
        <v>0</v>
      </c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</row>
    <row r="76" spans="2:53" x14ac:dyDescent="0.35">
      <c r="B76" s="135">
        <f t="shared" si="28"/>
        <v>16</v>
      </c>
      <c r="D76" s="135">
        <f t="shared" si="29"/>
        <v>1</v>
      </c>
      <c r="F76" s="135" t="str">
        <f t="shared" si="30"/>
        <v>x</v>
      </c>
      <c r="H76" s="136" t="str">
        <f t="shared" si="31"/>
        <v>x</v>
      </c>
      <c r="J76" s="210">
        <f t="shared" si="32"/>
        <v>0</v>
      </c>
      <c r="K76" s="210"/>
      <c r="L76" s="210">
        <f t="shared" si="33"/>
        <v>0</v>
      </c>
      <c r="M76" s="210"/>
      <c r="N76" s="210">
        <f t="shared" si="34"/>
        <v>0</v>
      </c>
      <c r="O76" s="210"/>
      <c r="P76" s="210">
        <f t="shared" si="35"/>
        <v>0</v>
      </c>
      <c r="Q76" s="210"/>
      <c r="R76" s="210">
        <f t="shared" si="36"/>
        <v>0</v>
      </c>
      <c r="S76" s="210"/>
      <c r="T76" s="210">
        <f t="shared" si="37"/>
        <v>0</v>
      </c>
      <c r="U76" s="210"/>
      <c r="V76" s="210">
        <f t="shared" si="38"/>
        <v>0</v>
      </c>
      <c r="W76" s="210"/>
      <c r="X76" s="210">
        <f t="shared" si="39"/>
        <v>0</v>
      </c>
      <c r="Y76" s="210"/>
      <c r="Z76" s="210">
        <f t="shared" si="40"/>
        <v>0</v>
      </c>
      <c r="AA76" s="210"/>
      <c r="AB76" s="210">
        <f t="shared" si="41"/>
        <v>0</v>
      </c>
      <c r="AC76" s="210"/>
      <c r="AD76" s="210">
        <f t="shared" si="42"/>
        <v>0</v>
      </c>
      <c r="AE76" s="210"/>
      <c r="AF76" s="210">
        <f t="shared" si="43"/>
        <v>0</v>
      </c>
      <c r="AG76" s="210"/>
      <c r="AH76" s="210">
        <f t="shared" si="44"/>
        <v>0</v>
      </c>
      <c r="AI76" s="210"/>
      <c r="AJ76" s="210">
        <f t="shared" si="45"/>
        <v>0</v>
      </c>
      <c r="AK76" s="210"/>
      <c r="AL76" s="210">
        <f t="shared" si="46"/>
        <v>0</v>
      </c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</row>
    <row r="77" spans="2:53" x14ac:dyDescent="0.35">
      <c r="B77" s="135">
        <f t="shared" si="28"/>
        <v>17</v>
      </c>
      <c r="D77" s="135">
        <f t="shared" si="29"/>
        <v>1</v>
      </c>
      <c r="F77" s="135" t="str">
        <f t="shared" si="30"/>
        <v>x</v>
      </c>
      <c r="H77" s="136" t="str">
        <f t="shared" si="31"/>
        <v>x</v>
      </c>
      <c r="J77" s="210">
        <f t="shared" si="32"/>
        <v>0</v>
      </c>
      <c r="K77" s="210"/>
      <c r="L77" s="210">
        <f t="shared" si="33"/>
        <v>0</v>
      </c>
      <c r="M77" s="210"/>
      <c r="N77" s="210">
        <f t="shared" si="34"/>
        <v>0</v>
      </c>
      <c r="O77" s="210"/>
      <c r="P77" s="210">
        <f t="shared" si="35"/>
        <v>0</v>
      </c>
      <c r="Q77" s="210"/>
      <c r="R77" s="210">
        <f t="shared" si="36"/>
        <v>0</v>
      </c>
      <c r="S77" s="210"/>
      <c r="T77" s="210">
        <f t="shared" si="37"/>
        <v>0</v>
      </c>
      <c r="U77" s="210"/>
      <c r="V77" s="210">
        <f t="shared" si="38"/>
        <v>0</v>
      </c>
      <c r="W77" s="210"/>
      <c r="X77" s="210">
        <f t="shared" si="39"/>
        <v>0</v>
      </c>
      <c r="Y77" s="210"/>
      <c r="Z77" s="210">
        <f t="shared" si="40"/>
        <v>0</v>
      </c>
      <c r="AA77" s="210"/>
      <c r="AB77" s="210">
        <f t="shared" si="41"/>
        <v>0</v>
      </c>
      <c r="AC77" s="210"/>
      <c r="AD77" s="210">
        <f t="shared" si="42"/>
        <v>0</v>
      </c>
      <c r="AE77" s="210"/>
      <c r="AF77" s="210">
        <f t="shared" si="43"/>
        <v>0</v>
      </c>
      <c r="AG77" s="210"/>
      <c r="AH77" s="210">
        <f t="shared" si="44"/>
        <v>0</v>
      </c>
      <c r="AI77" s="210"/>
      <c r="AJ77" s="210">
        <f t="shared" si="45"/>
        <v>0</v>
      </c>
      <c r="AK77" s="210"/>
      <c r="AL77" s="210">
        <f t="shared" si="46"/>
        <v>0</v>
      </c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</row>
    <row r="78" spans="2:53" x14ac:dyDescent="0.35">
      <c r="B78" s="135">
        <f t="shared" si="28"/>
        <v>18</v>
      </c>
      <c r="D78" s="135">
        <f t="shared" si="29"/>
        <v>1</v>
      </c>
      <c r="F78" s="135" t="str">
        <f t="shared" si="30"/>
        <v>x</v>
      </c>
      <c r="H78" s="136" t="str">
        <f t="shared" si="31"/>
        <v>x</v>
      </c>
      <c r="J78" s="210">
        <f t="shared" si="32"/>
        <v>0</v>
      </c>
      <c r="K78" s="210"/>
      <c r="L78" s="210">
        <f t="shared" si="33"/>
        <v>0</v>
      </c>
      <c r="M78" s="210"/>
      <c r="N78" s="210">
        <f t="shared" si="34"/>
        <v>0</v>
      </c>
      <c r="O78" s="210"/>
      <c r="P78" s="210">
        <f t="shared" si="35"/>
        <v>0</v>
      </c>
      <c r="Q78" s="210"/>
      <c r="R78" s="210">
        <f t="shared" si="36"/>
        <v>0</v>
      </c>
      <c r="S78" s="210"/>
      <c r="T78" s="210">
        <f t="shared" si="37"/>
        <v>0</v>
      </c>
      <c r="U78" s="210"/>
      <c r="V78" s="210">
        <f t="shared" si="38"/>
        <v>0</v>
      </c>
      <c r="W78" s="210"/>
      <c r="X78" s="210">
        <f t="shared" si="39"/>
        <v>0</v>
      </c>
      <c r="Y78" s="210"/>
      <c r="Z78" s="210">
        <f t="shared" si="40"/>
        <v>0</v>
      </c>
      <c r="AA78" s="210"/>
      <c r="AB78" s="210">
        <f t="shared" si="41"/>
        <v>0</v>
      </c>
      <c r="AC78" s="210"/>
      <c r="AD78" s="210">
        <f t="shared" si="42"/>
        <v>0</v>
      </c>
      <c r="AE78" s="210"/>
      <c r="AF78" s="210">
        <f t="shared" si="43"/>
        <v>0</v>
      </c>
      <c r="AG78" s="210"/>
      <c r="AH78" s="210">
        <f t="shared" si="44"/>
        <v>0</v>
      </c>
      <c r="AI78" s="210"/>
      <c r="AJ78" s="210">
        <f t="shared" si="45"/>
        <v>0</v>
      </c>
      <c r="AK78" s="210"/>
      <c r="AL78" s="210">
        <f t="shared" si="46"/>
        <v>0</v>
      </c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</row>
    <row r="79" spans="2:53" x14ac:dyDescent="0.35">
      <c r="B79" s="168">
        <f t="shared" si="28"/>
        <v>19</v>
      </c>
      <c r="C79" s="169"/>
      <c r="D79" s="168">
        <f t="shared" si="29"/>
        <v>1</v>
      </c>
      <c r="E79" s="171"/>
      <c r="F79" s="168" t="str">
        <f t="shared" si="30"/>
        <v>x</v>
      </c>
      <c r="G79" s="169"/>
      <c r="H79" s="169" t="str">
        <f t="shared" si="31"/>
        <v>x</v>
      </c>
      <c r="I79" s="169"/>
      <c r="J79" s="208">
        <f t="shared" si="32"/>
        <v>0</v>
      </c>
      <c r="K79" s="208"/>
      <c r="L79" s="208">
        <f t="shared" si="33"/>
        <v>0</v>
      </c>
      <c r="M79" s="208"/>
      <c r="N79" s="208">
        <f t="shared" si="34"/>
        <v>0</v>
      </c>
      <c r="O79" s="208"/>
      <c r="P79" s="208">
        <f t="shared" si="35"/>
        <v>0</v>
      </c>
      <c r="Q79" s="208"/>
      <c r="R79" s="208">
        <f t="shared" si="36"/>
        <v>0</v>
      </c>
      <c r="S79" s="208"/>
      <c r="T79" s="208">
        <f t="shared" si="37"/>
        <v>0</v>
      </c>
      <c r="U79" s="208"/>
      <c r="V79" s="208">
        <f t="shared" si="38"/>
        <v>0</v>
      </c>
      <c r="W79" s="208"/>
      <c r="X79" s="208">
        <f t="shared" si="39"/>
        <v>0</v>
      </c>
      <c r="Y79" s="208"/>
      <c r="Z79" s="208">
        <f t="shared" si="40"/>
        <v>0</v>
      </c>
      <c r="AA79" s="208"/>
      <c r="AB79" s="208">
        <f t="shared" si="41"/>
        <v>0</v>
      </c>
      <c r="AC79" s="208"/>
      <c r="AD79" s="208">
        <f t="shared" si="42"/>
        <v>0</v>
      </c>
      <c r="AE79" s="208"/>
      <c r="AF79" s="208">
        <f t="shared" si="43"/>
        <v>0</v>
      </c>
      <c r="AG79" s="208"/>
      <c r="AH79" s="208">
        <f t="shared" si="44"/>
        <v>0</v>
      </c>
      <c r="AI79" s="208"/>
      <c r="AJ79" s="208">
        <f t="shared" si="45"/>
        <v>0</v>
      </c>
      <c r="AK79" s="208"/>
      <c r="AL79" s="208">
        <f t="shared" si="46"/>
        <v>0</v>
      </c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</row>
    <row r="80" spans="2:53" x14ac:dyDescent="0.35">
      <c r="B80" s="168">
        <f t="shared" si="28"/>
        <v>20</v>
      </c>
      <c r="C80" s="169"/>
      <c r="D80" s="168">
        <f t="shared" si="29"/>
        <v>1</v>
      </c>
      <c r="E80" s="171"/>
      <c r="F80" s="168" t="str">
        <f t="shared" si="30"/>
        <v>x</v>
      </c>
      <c r="G80" s="169"/>
      <c r="H80" s="169" t="str">
        <f t="shared" si="31"/>
        <v>x</v>
      </c>
      <c r="I80" s="169"/>
      <c r="J80" s="208">
        <f t="shared" si="32"/>
        <v>0</v>
      </c>
      <c r="K80" s="208"/>
      <c r="L80" s="208">
        <f t="shared" si="33"/>
        <v>0</v>
      </c>
      <c r="M80" s="208"/>
      <c r="N80" s="208">
        <f t="shared" si="34"/>
        <v>0</v>
      </c>
      <c r="O80" s="208"/>
      <c r="P80" s="208">
        <f t="shared" si="35"/>
        <v>0</v>
      </c>
      <c r="Q80" s="208"/>
      <c r="R80" s="208">
        <f t="shared" si="36"/>
        <v>0</v>
      </c>
      <c r="S80" s="208"/>
      <c r="T80" s="208">
        <f t="shared" si="37"/>
        <v>0</v>
      </c>
      <c r="U80" s="208"/>
      <c r="V80" s="208">
        <f t="shared" si="38"/>
        <v>0</v>
      </c>
      <c r="W80" s="208"/>
      <c r="X80" s="208">
        <f t="shared" si="39"/>
        <v>0</v>
      </c>
      <c r="Y80" s="208"/>
      <c r="Z80" s="208">
        <f t="shared" si="40"/>
        <v>0</v>
      </c>
      <c r="AA80" s="208"/>
      <c r="AB80" s="208">
        <f t="shared" si="41"/>
        <v>0</v>
      </c>
      <c r="AC80" s="208"/>
      <c r="AD80" s="208">
        <f t="shared" si="42"/>
        <v>0</v>
      </c>
      <c r="AE80" s="208"/>
      <c r="AF80" s="208">
        <f t="shared" si="43"/>
        <v>0</v>
      </c>
      <c r="AG80" s="208"/>
      <c r="AH80" s="208">
        <f t="shared" si="44"/>
        <v>0</v>
      </c>
      <c r="AI80" s="208"/>
      <c r="AJ80" s="208">
        <f t="shared" si="45"/>
        <v>0</v>
      </c>
      <c r="AK80" s="208"/>
      <c r="AL80" s="208">
        <f t="shared" si="46"/>
        <v>0</v>
      </c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</row>
    <row r="81" spans="2:53" x14ac:dyDescent="0.35">
      <c r="B81" s="168">
        <f t="shared" si="28"/>
        <v>21</v>
      </c>
      <c r="C81" s="169"/>
      <c r="D81" s="168">
        <f t="shared" si="29"/>
        <v>1</v>
      </c>
      <c r="E81" s="171"/>
      <c r="F81" s="168" t="str">
        <f t="shared" si="30"/>
        <v>x</v>
      </c>
      <c r="G81" s="169"/>
      <c r="H81" s="169" t="str">
        <f t="shared" si="31"/>
        <v>x</v>
      </c>
      <c r="I81" s="169"/>
      <c r="J81" s="208">
        <f t="shared" si="32"/>
        <v>0</v>
      </c>
      <c r="K81" s="208"/>
      <c r="L81" s="208">
        <f t="shared" si="33"/>
        <v>0</v>
      </c>
      <c r="M81" s="208"/>
      <c r="N81" s="208">
        <f t="shared" si="34"/>
        <v>0</v>
      </c>
      <c r="O81" s="208"/>
      <c r="P81" s="208">
        <f t="shared" si="35"/>
        <v>0</v>
      </c>
      <c r="Q81" s="208"/>
      <c r="R81" s="208">
        <f t="shared" si="36"/>
        <v>0</v>
      </c>
      <c r="S81" s="208"/>
      <c r="T81" s="208">
        <f t="shared" si="37"/>
        <v>0</v>
      </c>
      <c r="U81" s="208"/>
      <c r="V81" s="208">
        <f t="shared" si="38"/>
        <v>0</v>
      </c>
      <c r="W81" s="208"/>
      <c r="X81" s="208">
        <f t="shared" si="39"/>
        <v>0</v>
      </c>
      <c r="Y81" s="208"/>
      <c r="Z81" s="208">
        <f t="shared" si="40"/>
        <v>0</v>
      </c>
      <c r="AA81" s="208"/>
      <c r="AB81" s="208">
        <f t="shared" si="41"/>
        <v>0</v>
      </c>
      <c r="AC81" s="208"/>
      <c r="AD81" s="208">
        <f t="shared" si="42"/>
        <v>0</v>
      </c>
      <c r="AE81" s="208"/>
      <c r="AF81" s="208">
        <f t="shared" si="43"/>
        <v>0</v>
      </c>
      <c r="AG81" s="208"/>
      <c r="AH81" s="208">
        <f t="shared" si="44"/>
        <v>0</v>
      </c>
      <c r="AI81" s="208"/>
      <c r="AJ81" s="208">
        <f t="shared" si="45"/>
        <v>0</v>
      </c>
      <c r="AK81" s="208"/>
      <c r="AL81" s="208">
        <f t="shared" si="46"/>
        <v>0</v>
      </c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</row>
    <row r="82" spans="2:53" x14ac:dyDescent="0.35">
      <c r="B82" s="135">
        <f t="shared" si="28"/>
        <v>22</v>
      </c>
      <c r="D82" s="135">
        <f t="shared" si="29"/>
        <v>1</v>
      </c>
      <c r="F82" s="135" t="str">
        <f t="shared" si="30"/>
        <v>x</v>
      </c>
      <c r="H82" s="136" t="str">
        <f t="shared" si="31"/>
        <v>x</v>
      </c>
      <c r="J82" s="210">
        <f t="shared" si="32"/>
        <v>0</v>
      </c>
      <c r="K82" s="210"/>
      <c r="L82" s="210">
        <f t="shared" si="33"/>
        <v>0</v>
      </c>
      <c r="M82" s="210"/>
      <c r="N82" s="210">
        <f t="shared" si="34"/>
        <v>0</v>
      </c>
      <c r="O82" s="210"/>
      <c r="P82" s="210">
        <f t="shared" si="35"/>
        <v>0</v>
      </c>
      <c r="Q82" s="210"/>
      <c r="R82" s="210">
        <f t="shared" si="36"/>
        <v>0</v>
      </c>
      <c r="S82" s="210"/>
      <c r="T82" s="210">
        <f t="shared" si="37"/>
        <v>0</v>
      </c>
      <c r="U82" s="210"/>
      <c r="V82" s="210">
        <f t="shared" si="38"/>
        <v>0</v>
      </c>
      <c r="W82" s="210"/>
      <c r="X82" s="210">
        <f t="shared" si="39"/>
        <v>0</v>
      </c>
      <c r="Y82" s="210"/>
      <c r="Z82" s="210">
        <f t="shared" si="40"/>
        <v>0</v>
      </c>
      <c r="AA82" s="210"/>
      <c r="AB82" s="210">
        <f t="shared" si="41"/>
        <v>0</v>
      </c>
      <c r="AC82" s="210"/>
      <c r="AD82" s="210">
        <f t="shared" si="42"/>
        <v>0</v>
      </c>
      <c r="AE82" s="210"/>
      <c r="AF82" s="210">
        <f t="shared" si="43"/>
        <v>0</v>
      </c>
      <c r="AG82" s="210"/>
      <c r="AH82" s="210">
        <f t="shared" si="44"/>
        <v>0</v>
      </c>
      <c r="AI82" s="210"/>
      <c r="AJ82" s="210">
        <f t="shared" si="45"/>
        <v>0</v>
      </c>
      <c r="AK82" s="210"/>
      <c r="AL82" s="210">
        <f t="shared" si="46"/>
        <v>0</v>
      </c>
    </row>
    <row r="83" spans="2:53" x14ac:dyDescent="0.35">
      <c r="B83" s="135">
        <f t="shared" si="28"/>
        <v>23</v>
      </c>
      <c r="D83" s="135">
        <f t="shared" si="29"/>
        <v>1</v>
      </c>
      <c r="F83" s="135" t="str">
        <f t="shared" si="30"/>
        <v>x</v>
      </c>
      <c r="H83" s="136" t="str">
        <f t="shared" si="31"/>
        <v>x</v>
      </c>
      <c r="J83" s="210">
        <f t="shared" si="32"/>
        <v>0</v>
      </c>
      <c r="K83" s="210"/>
      <c r="L83" s="210">
        <f t="shared" si="33"/>
        <v>0</v>
      </c>
      <c r="M83" s="210"/>
      <c r="N83" s="210">
        <f t="shared" si="34"/>
        <v>0</v>
      </c>
      <c r="O83" s="210"/>
      <c r="P83" s="210">
        <f t="shared" si="35"/>
        <v>0</v>
      </c>
      <c r="Q83" s="210"/>
      <c r="R83" s="210">
        <f t="shared" si="36"/>
        <v>0</v>
      </c>
      <c r="S83" s="210"/>
      <c r="T83" s="210">
        <f t="shared" si="37"/>
        <v>0</v>
      </c>
      <c r="U83" s="210"/>
      <c r="V83" s="210">
        <f t="shared" si="38"/>
        <v>0</v>
      </c>
      <c r="W83" s="210"/>
      <c r="X83" s="210">
        <f t="shared" si="39"/>
        <v>0</v>
      </c>
      <c r="Y83" s="210"/>
      <c r="Z83" s="210">
        <f t="shared" si="40"/>
        <v>0</v>
      </c>
      <c r="AA83" s="210"/>
      <c r="AB83" s="210">
        <f t="shared" si="41"/>
        <v>0</v>
      </c>
      <c r="AC83" s="210"/>
      <c r="AD83" s="210">
        <f t="shared" si="42"/>
        <v>0</v>
      </c>
      <c r="AE83" s="210"/>
      <c r="AF83" s="210">
        <f t="shared" si="43"/>
        <v>0</v>
      </c>
      <c r="AG83" s="210"/>
      <c r="AH83" s="210">
        <f t="shared" si="44"/>
        <v>0</v>
      </c>
      <c r="AI83" s="210"/>
      <c r="AJ83" s="210">
        <f t="shared" si="45"/>
        <v>0</v>
      </c>
      <c r="AK83" s="210"/>
      <c r="AL83" s="210">
        <f t="shared" si="46"/>
        <v>0</v>
      </c>
    </row>
    <row r="84" spans="2:53" x14ac:dyDescent="0.35">
      <c r="B84" s="135">
        <f t="shared" si="28"/>
        <v>24</v>
      </c>
      <c r="D84" s="135">
        <f t="shared" si="29"/>
        <v>1</v>
      </c>
      <c r="F84" s="135" t="str">
        <f t="shared" si="30"/>
        <v>x</v>
      </c>
      <c r="H84" s="136" t="str">
        <f t="shared" si="31"/>
        <v>x</v>
      </c>
      <c r="J84" s="210">
        <f t="shared" si="32"/>
        <v>0</v>
      </c>
      <c r="K84" s="210"/>
      <c r="L84" s="210">
        <f t="shared" si="33"/>
        <v>0</v>
      </c>
      <c r="M84" s="210"/>
      <c r="N84" s="210">
        <f t="shared" si="34"/>
        <v>0</v>
      </c>
      <c r="O84" s="210"/>
      <c r="P84" s="210">
        <f t="shared" si="35"/>
        <v>0</v>
      </c>
      <c r="Q84" s="210"/>
      <c r="R84" s="210">
        <f t="shared" si="36"/>
        <v>0</v>
      </c>
      <c r="S84" s="210"/>
      <c r="T84" s="210">
        <f t="shared" si="37"/>
        <v>0</v>
      </c>
      <c r="U84" s="210"/>
      <c r="V84" s="210">
        <f t="shared" si="38"/>
        <v>0</v>
      </c>
      <c r="W84" s="210"/>
      <c r="X84" s="210">
        <f t="shared" si="39"/>
        <v>0</v>
      </c>
      <c r="Y84" s="210"/>
      <c r="Z84" s="210">
        <f t="shared" si="40"/>
        <v>0</v>
      </c>
      <c r="AA84" s="210"/>
      <c r="AB84" s="210">
        <f t="shared" si="41"/>
        <v>0</v>
      </c>
      <c r="AC84" s="210"/>
      <c r="AD84" s="210">
        <f t="shared" si="42"/>
        <v>0</v>
      </c>
      <c r="AE84" s="210"/>
      <c r="AF84" s="210">
        <f t="shared" si="43"/>
        <v>0</v>
      </c>
      <c r="AG84" s="210"/>
      <c r="AH84" s="210">
        <f t="shared" si="44"/>
        <v>0</v>
      </c>
      <c r="AI84" s="210"/>
      <c r="AJ84" s="210">
        <f t="shared" si="45"/>
        <v>0</v>
      </c>
      <c r="AK84" s="210"/>
      <c r="AL84" s="210">
        <f t="shared" si="46"/>
        <v>0</v>
      </c>
    </row>
    <row r="85" spans="2:53" x14ac:dyDescent="0.35">
      <c r="B85" s="168">
        <f t="shared" si="28"/>
        <v>25</v>
      </c>
      <c r="C85" s="169"/>
      <c r="D85" s="168">
        <f t="shared" si="29"/>
        <v>1</v>
      </c>
      <c r="E85" s="171"/>
      <c r="F85" s="168" t="str">
        <f t="shared" si="30"/>
        <v>x</v>
      </c>
      <c r="G85" s="169"/>
      <c r="H85" s="169" t="str">
        <f t="shared" si="31"/>
        <v>x</v>
      </c>
      <c r="I85" s="169"/>
      <c r="J85" s="208">
        <f t="shared" si="32"/>
        <v>0</v>
      </c>
      <c r="K85" s="208"/>
      <c r="L85" s="208">
        <f t="shared" si="33"/>
        <v>0</v>
      </c>
      <c r="M85" s="208"/>
      <c r="N85" s="208">
        <f t="shared" si="34"/>
        <v>0</v>
      </c>
      <c r="O85" s="208"/>
      <c r="P85" s="208">
        <f t="shared" si="35"/>
        <v>0</v>
      </c>
      <c r="Q85" s="208"/>
      <c r="R85" s="208">
        <f t="shared" si="36"/>
        <v>0</v>
      </c>
      <c r="S85" s="208"/>
      <c r="T85" s="208">
        <f t="shared" si="37"/>
        <v>0</v>
      </c>
      <c r="U85" s="208"/>
      <c r="V85" s="208">
        <f t="shared" si="38"/>
        <v>0</v>
      </c>
      <c r="W85" s="208"/>
      <c r="X85" s="208">
        <f t="shared" si="39"/>
        <v>0</v>
      </c>
      <c r="Y85" s="208"/>
      <c r="Z85" s="208">
        <f t="shared" si="40"/>
        <v>0</v>
      </c>
      <c r="AA85" s="208"/>
      <c r="AB85" s="208">
        <f t="shared" si="41"/>
        <v>0</v>
      </c>
      <c r="AC85" s="208"/>
      <c r="AD85" s="208">
        <f t="shared" si="42"/>
        <v>0</v>
      </c>
      <c r="AE85" s="208"/>
      <c r="AF85" s="208">
        <f t="shared" si="43"/>
        <v>0</v>
      </c>
      <c r="AG85" s="208"/>
      <c r="AH85" s="208">
        <f t="shared" si="44"/>
        <v>0</v>
      </c>
      <c r="AI85" s="208"/>
      <c r="AJ85" s="208">
        <f t="shared" si="45"/>
        <v>0</v>
      </c>
      <c r="AK85" s="208"/>
      <c r="AL85" s="208">
        <f t="shared" si="46"/>
        <v>0</v>
      </c>
    </row>
    <row r="86" spans="2:53" x14ac:dyDescent="0.35">
      <c r="B86" s="168">
        <f t="shared" si="28"/>
        <v>26</v>
      </c>
      <c r="C86" s="169"/>
      <c r="D86" s="168">
        <f t="shared" si="29"/>
        <v>1</v>
      </c>
      <c r="E86" s="171"/>
      <c r="F86" s="168" t="str">
        <f t="shared" si="30"/>
        <v>x</v>
      </c>
      <c r="G86" s="169"/>
      <c r="H86" s="169" t="str">
        <f t="shared" si="31"/>
        <v>x</v>
      </c>
      <c r="I86" s="169"/>
      <c r="J86" s="208">
        <f t="shared" si="32"/>
        <v>0</v>
      </c>
      <c r="K86" s="208"/>
      <c r="L86" s="208">
        <f t="shared" si="33"/>
        <v>0</v>
      </c>
      <c r="M86" s="208"/>
      <c r="N86" s="208">
        <f t="shared" si="34"/>
        <v>0</v>
      </c>
      <c r="O86" s="208"/>
      <c r="P86" s="208">
        <f t="shared" si="35"/>
        <v>0</v>
      </c>
      <c r="Q86" s="208"/>
      <c r="R86" s="208">
        <f t="shared" si="36"/>
        <v>0</v>
      </c>
      <c r="S86" s="208"/>
      <c r="T86" s="208">
        <f t="shared" si="37"/>
        <v>0</v>
      </c>
      <c r="U86" s="208"/>
      <c r="V86" s="208">
        <f t="shared" si="38"/>
        <v>0</v>
      </c>
      <c r="W86" s="208"/>
      <c r="X86" s="208">
        <f t="shared" si="39"/>
        <v>0</v>
      </c>
      <c r="Y86" s="208"/>
      <c r="Z86" s="208">
        <f t="shared" si="40"/>
        <v>0</v>
      </c>
      <c r="AA86" s="208"/>
      <c r="AB86" s="208">
        <f t="shared" si="41"/>
        <v>0</v>
      </c>
      <c r="AC86" s="208"/>
      <c r="AD86" s="208">
        <f t="shared" si="42"/>
        <v>0</v>
      </c>
      <c r="AE86" s="208"/>
      <c r="AF86" s="208">
        <f t="shared" si="43"/>
        <v>0</v>
      </c>
      <c r="AG86" s="208"/>
      <c r="AH86" s="208">
        <f t="shared" si="44"/>
        <v>0</v>
      </c>
      <c r="AI86" s="208"/>
      <c r="AJ86" s="208">
        <f t="shared" si="45"/>
        <v>0</v>
      </c>
      <c r="AK86" s="208"/>
      <c r="AL86" s="208">
        <f t="shared" si="46"/>
        <v>0</v>
      </c>
    </row>
    <row r="87" spans="2:53" x14ac:dyDescent="0.35">
      <c r="B87" s="168">
        <f t="shared" si="28"/>
        <v>27</v>
      </c>
      <c r="C87" s="169"/>
      <c r="D87" s="168">
        <f t="shared" si="29"/>
        <v>1</v>
      </c>
      <c r="E87" s="171"/>
      <c r="F87" s="168" t="str">
        <f t="shared" si="30"/>
        <v>x</v>
      </c>
      <c r="G87" s="169"/>
      <c r="H87" s="169" t="str">
        <f t="shared" si="31"/>
        <v>x</v>
      </c>
      <c r="I87" s="169"/>
      <c r="J87" s="208">
        <f t="shared" si="32"/>
        <v>0</v>
      </c>
      <c r="K87" s="208"/>
      <c r="L87" s="208">
        <f t="shared" si="33"/>
        <v>0</v>
      </c>
      <c r="M87" s="208"/>
      <c r="N87" s="208">
        <f t="shared" si="34"/>
        <v>0</v>
      </c>
      <c r="O87" s="208"/>
      <c r="P87" s="208">
        <f t="shared" si="35"/>
        <v>0</v>
      </c>
      <c r="Q87" s="208"/>
      <c r="R87" s="208">
        <f t="shared" si="36"/>
        <v>0</v>
      </c>
      <c r="S87" s="208"/>
      <c r="T87" s="208">
        <f t="shared" si="37"/>
        <v>0</v>
      </c>
      <c r="U87" s="208"/>
      <c r="V87" s="208">
        <f t="shared" si="38"/>
        <v>0</v>
      </c>
      <c r="W87" s="208"/>
      <c r="X87" s="208">
        <f t="shared" si="39"/>
        <v>0</v>
      </c>
      <c r="Y87" s="208"/>
      <c r="Z87" s="208">
        <f t="shared" si="40"/>
        <v>0</v>
      </c>
      <c r="AA87" s="208"/>
      <c r="AB87" s="208">
        <f t="shared" si="41"/>
        <v>0</v>
      </c>
      <c r="AC87" s="208"/>
      <c r="AD87" s="208">
        <f t="shared" si="42"/>
        <v>0</v>
      </c>
      <c r="AE87" s="208"/>
      <c r="AF87" s="208">
        <f t="shared" si="43"/>
        <v>0</v>
      </c>
      <c r="AG87" s="208"/>
      <c r="AH87" s="208">
        <f t="shared" si="44"/>
        <v>0</v>
      </c>
      <c r="AI87" s="208"/>
      <c r="AJ87" s="208">
        <f t="shared" si="45"/>
        <v>0</v>
      </c>
      <c r="AK87" s="208"/>
      <c r="AL87" s="208">
        <f t="shared" si="46"/>
        <v>0</v>
      </c>
    </row>
    <row r="88" spans="2:53" x14ac:dyDescent="0.35">
      <c r="B88" s="135">
        <f t="shared" si="28"/>
        <v>28</v>
      </c>
      <c r="D88" s="135">
        <f t="shared" si="29"/>
        <v>1</v>
      </c>
      <c r="F88" s="135" t="str">
        <f t="shared" si="30"/>
        <v>x</v>
      </c>
      <c r="H88" s="181" t="str">
        <f t="shared" si="31"/>
        <v>x</v>
      </c>
      <c r="J88" s="210">
        <f t="shared" si="32"/>
        <v>0</v>
      </c>
      <c r="K88" s="210"/>
      <c r="L88" s="210">
        <f t="shared" si="33"/>
        <v>0</v>
      </c>
      <c r="M88" s="210"/>
      <c r="N88" s="210">
        <f t="shared" si="34"/>
        <v>0</v>
      </c>
      <c r="O88" s="210"/>
      <c r="P88" s="210">
        <f t="shared" si="35"/>
        <v>0</v>
      </c>
      <c r="Q88" s="210"/>
      <c r="R88" s="210">
        <f t="shared" si="36"/>
        <v>0</v>
      </c>
      <c r="S88" s="210"/>
      <c r="T88" s="210">
        <f t="shared" si="37"/>
        <v>0</v>
      </c>
      <c r="U88" s="210"/>
      <c r="V88" s="210">
        <f t="shared" si="38"/>
        <v>0</v>
      </c>
      <c r="W88" s="210"/>
      <c r="X88" s="210">
        <f t="shared" si="39"/>
        <v>0</v>
      </c>
      <c r="Y88" s="210"/>
      <c r="Z88" s="210">
        <f t="shared" si="40"/>
        <v>0</v>
      </c>
      <c r="AA88" s="210"/>
      <c r="AB88" s="210">
        <f t="shared" si="41"/>
        <v>0</v>
      </c>
      <c r="AC88" s="210"/>
      <c r="AD88" s="210">
        <f t="shared" si="42"/>
        <v>0</v>
      </c>
      <c r="AE88" s="210"/>
      <c r="AF88" s="210">
        <f t="shared" si="43"/>
        <v>0</v>
      </c>
      <c r="AG88" s="210"/>
      <c r="AH88" s="210">
        <f t="shared" si="44"/>
        <v>0</v>
      </c>
      <c r="AI88" s="210"/>
      <c r="AJ88" s="210">
        <f t="shared" si="45"/>
        <v>0</v>
      </c>
      <c r="AK88" s="210"/>
      <c r="AL88" s="210">
        <f t="shared" si="46"/>
        <v>0</v>
      </c>
    </row>
    <row r="89" spans="2:53" x14ac:dyDescent="0.35">
      <c r="B89" s="135">
        <f t="shared" si="28"/>
        <v>29</v>
      </c>
      <c r="D89" s="135">
        <f t="shared" si="29"/>
        <v>1</v>
      </c>
      <c r="F89" s="135" t="str">
        <f t="shared" si="30"/>
        <v>x</v>
      </c>
      <c r="H89" s="181" t="str">
        <f t="shared" si="31"/>
        <v>x</v>
      </c>
      <c r="J89" s="210">
        <f t="shared" si="32"/>
        <v>0</v>
      </c>
      <c r="K89" s="210"/>
      <c r="L89" s="210">
        <f t="shared" si="33"/>
        <v>0</v>
      </c>
      <c r="M89" s="210"/>
      <c r="N89" s="210">
        <f t="shared" si="34"/>
        <v>0</v>
      </c>
      <c r="O89" s="210"/>
      <c r="P89" s="210">
        <f t="shared" si="35"/>
        <v>0</v>
      </c>
      <c r="Q89" s="210"/>
      <c r="R89" s="210">
        <f t="shared" si="36"/>
        <v>0</v>
      </c>
      <c r="S89" s="210"/>
      <c r="T89" s="210">
        <f t="shared" si="37"/>
        <v>0</v>
      </c>
      <c r="U89" s="210"/>
      <c r="V89" s="210">
        <f t="shared" si="38"/>
        <v>0</v>
      </c>
      <c r="W89" s="210"/>
      <c r="X89" s="210">
        <f t="shared" si="39"/>
        <v>0</v>
      </c>
      <c r="Y89" s="210"/>
      <c r="Z89" s="210">
        <f t="shared" si="40"/>
        <v>0</v>
      </c>
      <c r="AA89" s="210"/>
      <c r="AB89" s="210">
        <f t="shared" si="41"/>
        <v>0</v>
      </c>
      <c r="AC89" s="210"/>
      <c r="AD89" s="210">
        <f t="shared" si="42"/>
        <v>0</v>
      </c>
      <c r="AE89" s="210"/>
      <c r="AF89" s="210">
        <f t="shared" si="43"/>
        <v>0</v>
      </c>
      <c r="AG89" s="210"/>
      <c r="AH89" s="210">
        <f t="shared" si="44"/>
        <v>0</v>
      </c>
      <c r="AI89" s="210"/>
      <c r="AJ89" s="210">
        <f t="shared" si="45"/>
        <v>0</v>
      </c>
      <c r="AK89" s="210"/>
      <c r="AL89" s="210">
        <f t="shared" si="46"/>
        <v>0</v>
      </c>
    </row>
    <row r="90" spans="2:53" x14ac:dyDescent="0.35">
      <c r="B90" s="135">
        <f t="shared" si="28"/>
        <v>30</v>
      </c>
      <c r="D90" s="135">
        <f t="shared" si="29"/>
        <v>1</v>
      </c>
      <c r="F90" s="135" t="str">
        <f t="shared" si="30"/>
        <v>x</v>
      </c>
      <c r="H90" s="181" t="str">
        <f t="shared" si="31"/>
        <v>x</v>
      </c>
      <c r="J90" s="210">
        <f t="shared" si="32"/>
        <v>0</v>
      </c>
      <c r="K90" s="210"/>
      <c r="L90" s="210">
        <f t="shared" si="33"/>
        <v>0</v>
      </c>
      <c r="M90" s="210"/>
      <c r="N90" s="210">
        <f t="shared" si="34"/>
        <v>0</v>
      </c>
      <c r="O90" s="210"/>
      <c r="P90" s="210">
        <f t="shared" si="35"/>
        <v>0</v>
      </c>
      <c r="Q90" s="210"/>
      <c r="R90" s="210">
        <f t="shared" si="36"/>
        <v>0</v>
      </c>
      <c r="S90" s="210"/>
      <c r="T90" s="210">
        <f t="shared" si="37"/>
        <v>0</v>
      </c>
      <c r="U90" s="210"/>
      <c r="V90" s="210">
        <f t="shared" si="38"/>
        <v>0</v>
      </c>
      <c r="W90" s="210"/>
      <c r="X90" s="210">
        <f t="shared" si="39"/>
        <v>0</v>
      </c>
      <c r="Y90" s="210"/>
      <c r="Z90" s="210">
        <f t="shared" si="40"/>
        <v>0</v>
      </c>
      <c r="AA90" s="210"/>
      <c r="AB90" s="210">
        <f t="shared" si="41"/>
        <v>0</v>
      </c>
      <c r="AC90" s="210"/>
      <c r="AD90" s="210">
        <f t="shared" si="42"/>
        <v>0</v>
      </c>
      <c r="AE90" s="210"/>
      <c r="AF90" s="210">
        <f t="shared" si="43"/>
        <v>0</v>
      </c>
      <c r="AG90" s="210"/>
      <c r="AH90" s="210">
        <f t="shared" si="44"/>
        <v>0</v>
      </c>
      <c r="AI90" s="210"/>
      <c r="AJ90" s="210">
        <f t="shared" si="45"/>
        <v>0</v>
      </c>
      <c r="AK90" s="210"/>
      <c r="AL90" s="210">
        <f t="shared" si="46"/>
        <v>0</v>
      </c>
    </row>
    <row r="91" spans="2:53" x14ac:dyDescent="0.35">
      <c r="B91" s="168">
        <f t="shared" si="28"/>
        <v>31</v>
      </c>
      <c r="C91" s="169"/>
      <c r="D91" s="168">
        <f t="shared" si="29"/>
        <v>1</v>
      </c>
      <c r="E91" s="171"/>
      <c r="F91" s="168" t="str">
        <f t="shared" si="30"/>
        <v>x</v>
      </c>
      <c r="G91" s="169"/>
      <c r="H91" s="169" t="str">
        <f t="shared" si="31"/>
        <v>x</v>
      </c>
      <c r="I91" s="169"/>
      <c r="J91" s="208">
        <f t="shared" si="32"/>
        <v>0</v>
      </c>
      <c r="K91" s="208"/>
      <c r="L91" s="208">
        <f t="shared" si="33"/>
        <v>0</v>
      </c>
      <c r="M91" s="208"/>
      <c r="N91" s="208">
        <f t="shared" si="34"/>
        <v>0</v>
      </c>
      <c r="O91" s="208"/>
      <c r="P91" s="208">
        <f t="shared" si="35"/>
        <v>0</v>
      </c>
      <c r="Q91" s="208"/>
      <c r="R91" s="208">
        <f t="shared" si="36"/>
        <v>0</v>
      </c>
      <c r="S91" s="208"/>
      <c r="T91" s="208">
        <f t="shared" si="37"/>
        <v>0</v>
      </c>
      <c r="U91" s="208"/>
      <c r="V91" s="208">
        <f t="shared" si="38"/>
        <v>0</v>
      </c>
      <c r="W91" s="208"/>
      <c r="X91" s="208">
        <f t="shared" si="39"/>
        <v>0</v>
      </c>
      <c r="Y91" s="208"/>
      <c r="Z91" s="208">
        <f t="shared" si="40"/>
        <v>0</v>
      </c>
      <c r="AA91" s="208"/>
      <c r="AB91" s="208">
        <f t="shared" si="41"/>
        <v>0</v>
      </c>
      <c r="AC91" s="208"/>
      <c r="AD91" s="208">
        <f t="shared" si="42"/>
        <v>0</v>
      </c>
      <c r="AE91" s="208"/>
      <c r="AF91" s="208">
        <f t="shared" si="43"/>
        <v>0</v>
      </c>
      <c r="AG91" s="208"/>
      <c r="AH91" s="208">
        <f t="shared" si="44"/>
        <v>0</v>
      </c>
      <c r="AI91" s="208"/>
      <c r="AJ91" s="208">
        <f t="shared" si="45"/>
        <v>0</v>
      </c>
      <c r="AK91" s="208"/>
      <c r="AL91" s="208">
        <f t="shared" si="46"/>
        <v>0</v>
      </c>
    </row>
    <row r="92" spans="2:53" x14ac:dyDescent="0.35">
      <c r="B92" s="168">
        <f t="shared" si="28"/>
        <v>32</v>
      </c>
      <c r="C92" s="169"/>
      <c r="D92" s="168">
        <f t="shared" si="29"/>
        <v>1</v>
      </c>
      <c r="E92" s="171"/>
      <c r="F92" s="168" t="str">
        <f t="shared" si="30"/>
        <v>x</v>
      </c>
      <c r="G92" s="169"/>
      <c r="H92" s="169" t="str">
        <f t="shared" si="31"/>
        <v>x</v>
      </c>
      <c r="I92" s="169"/>
      <c r="J92" s="208">
        <f t="shared" si="32"/>
        <v>0</v>
      </c>
      <c r="K92" s="208"/>
      <c r="L92" s="208">
        <f t="shared" si="33"/>
        <v>0</v>
      </c>
      <c r="M92" s="208"/>
      <c r="N92" s="208">
        <f t="shared" si="34"/>
        <v>0</v>
      </c>
      <c r="O92" s="208"/>
      <c r="P92" s="208">
        <f t="shared" si="35"/>
        <v>0</v>
      </c>
      <c r="Q92" s="208"/>
      <c r="R92" s="208">
        <f t="shared" si="36"/>
        <v>0</v>
      </c>
      <c r="S92" s="208"/>
      <c r="T92" s="208">
        <f t="shared" si="37"/>
        <v>0</v>
      </c>
      <c r="U92" s="208"/>
      <c r="V92" s="208">
        <f t="shared" si="38"/>
        <v>0</v>
      </c>
      <c r="W92" s="208"/>
      <c r="X92" s="208">
        <f t="shared" si="39"/>
        <v>0</v>
      </c>
      <c r="Y92" s="208"/>
      <c r="Z92" s="208">
        <f t="shared" si="40"/>
        <v>0</v>
      </c>
      <c r="AA92" s="208"/>
      <c r="AB92" s="208">
        <f t="shared" si="41"/>
        <v>0</v>
      </c>
      <c r="AC92" s="208"/>
      <c r="AD92" s="208">
        <f t="shared" si="42"/>
        <v>0</v>
      </c>
      <c r="AE92" s="208"/>
      <c r="AF92" s="208">
        <f t="shared" si="43"/>
        <v>0</v>
      </c>
      <c r="AG92" s="208"/>
      <c r="AH92" s="208">
        <f t="shared" si="44"/>
        <v>0</v>
      </c>
      <c r="AI92" s="208"/>
      <c r="AJ92" s="208">
        <f t="shared" si="45"/>
        <v>0</v>
      </c>
      <c r="AK92" s="208"/>
      <c r="AL92" s="208">
        <f t="shared" si="46"/>
        <v>0</v>
      </c>
    </row>
    <row r="93" spans="2:53" x14ac:dyDescent="0.35">
      <c r="B93" s="168">
        <f t="shared" si="28"/>
        <v>33</v>
      </c>
      <c r="C93" s="169"/>
      <c r="D93" s="168">
        <f t="shared" si="29"/>
        <v>1</v>
      </c>
      <c r="E93" s="171"/>
      <c r="F93" s="168" t="str">
        <f t="shared" si="30"/>
        <v>x</v>
      </c>
      <c r="G93" s="169"/>
      <c r="H93" s="169" t="str">
        <f t="shared" si="31"/>
        <v>x</v>
      </c>
      <c r="I93" s="169"/>
      <c r="J93" s="208">
        <f t="shared" si="32"/>
        <v>0</v>
      </c>
      <c r="K93" s="208"/>
      <c r="L93" s="208">
        <f t="shared" si="33"/>
        <v>0</v>
      </c>
      <c r="M93" s="208"/>
      <c r="N93" s="208">
        <f t="shared" si="34"/>
        <v>0</v>
      </c>
      <c r="O93" s="208"/>
      <c r="P93" s="208">
        <f t="shared" si="35"/>
        <v>0</v>
      </c>
      <c r="Q93" s="208"/>
      <c r="R93" s="208">
        <f t="shared" si="36"/>
        <v>0</v>
      </c>
      <c r="S93" s="208"/>
      <c r="T93" s="208">
        <f t="shared" si="37"/>
        <v>0</v>
      </c>
      <c r="U93" s="208"/>
      <c r="V93" s="208">
        <f t="shared" si="38"/>
        <v>0</v>
      </c>
      <c r="W93" s="208"/>
      <c r="X93" s="208">
        <f t="shared" si="39"/>
        <v>0</v>
      </c>
      <c r="Y93" s="208"/>
      <c r="Z93" s="208">
        <f t="shared" si="40"/>
        <v>0</v>
      </c>
      <c r="AA93" s="208"/>
      <c r="AB93" s="208">
        <f t="shared" si="41"/>
        <v>0</v>
      </c>
      <c r="AC93" s="208"/>
      <c r="AD93" s="208">
        <f t="shared" si="42"/>
        <v>0</v>
      </c>
      <c r="AE93" s="208"/>
      <c r="AF93" s="208">
        <f t="shared" si="43"/>
        <v>0</v>
      </c>
      <c r="AG93" s="208"/>
      <c r="AH93" s="208">
        <f t="shared" si="44"/>
        <v>0</v>
      </c>
      <c r="AI93" s="208"/>
      <c r="AJ93" s="208">
        <f t="shared" si="45"/>
        <v>0</v>
      </c>
      <c r="AK93" s="208"/>
      <c r="AL93" s="208">
        <f t="shared" si="46"/>
        <v>0</v>
      </c>
    </row>
    <row r="94" spans="2:53" x14ac:dyDescent="0.35">
      <c r="B94" s="135">
        <f t="shared" si="28"/>
        <v>34</v>
      </c>
      <c r="D94" s="135">
        <f t="shared" si="29"/>
        <v>1</v>
      </c>
      <c r="F94" s="135" t="str">
        <f t="shared" si="30"/>
        <v>x</v>
      </c>
      <c r="H94" s="136" t="str">
        <f t="shared" si="31"/>
        <v>x</v>
      </c>
      <c r="J94" s="210">
        <f t="shared" si="32"/>
        <v>0</v>
      </c>
      <c r="K94" s="210"/>
      <c r="L94" s="210">
        <f t="shared" si="33"/>
        <v>0</v>
      </c>
      <c r="M94" s="210"/>
      <c r="N94" s="210">
        <f t="shared" si="34"/>
        <v>0</v>
      </c>
      <c r="O94" s="210"/>
      <c r="P94" s="210">
        <f t="shared" si="35"/>
        <v>0</v>
      </c>
      <c r="Q94" s="210"/>
      <c r="R94" s="210">
        <f t="shared" si="36"/>
        <v>0</v>
      </c>
      <c r="S94" s="210"/>
      <c r="T94" s="210">
        <f t="shared" si="37"/>
        <v>0</v>
      </c>
      <c r="U94" s="210"/>
      <c r="V94" s="210">
        <f t="shared" si="38"/>
        <v>0</v>
      </c>
      <c r="W94" s="210"/>
      <c r="X94" s="210">
        <f t="shared" si="39"/>
        <v>0</v>
      </c>
      <c r="Y94" s="210"/>
      <c r="Z94" s="210">
        <f t="shared" si="40"/>
        <v>0</v>
      </c>
      <c r="AA94" s="210"/>
      <c r="AB94" s="210">
        <f t="shared" si="41"/>
        <v>0</v>
      </c>
      <c r="AC94" s="210"/>
      <c r="AD94" s="210">
        <f t="shared" si="42"/>
        <v>0</v>
      </c>
      <c r="AE94" s="210"/>
      <c r="AF94" s="210">
        <f t="shared" si="43"/>
        <v>0</v>
      </c>
      <c r="AG94" s="210"/>
      <c r="AH94" s="210">
        <f t="shared" si="44"/>
        <v>0</v>
      </c>
      <c r="AI94" s="210"/>
      <c r="AJ94" s="210">
        <f t="shared" si="45"/>
        <v>0</v>
      </c>
      <c r="AK94" s="210"/>
      <c r="AL94" s="210">
        <f t="shared" si="46"/>
        <v>0</v>
      </c>
    </row>
    <row r="95" spans="2:53" x14ac:dyDescent="0.35">
      <c r="B95" s="135">
        <f t="shared" si="28"/>
        <v>35</v>
      </c>
      <c r="D95" s="135">
        <f t="shared" si="29"/>
        <v>1</v>
      </c>
      <c r="F95" s="135" t="str">
        <f t="shared" si="30"/>
        <v>x</v>
      </c>
      <c r="H95" s="136" t="str">
        <f t="shared" si="31"/>
        <v>x</v>
      </c>
      <c r="J95" s="210">
        <f t="shared" si="32"/>
        <v>0</v>
      </c>
      <c r="K95" s="210"/>
      <c r="L95" s="210">
        <f t="shared" si="33"/>
        <v>0</v>
      </c>
      <c r="M95" s="210"/>
      <c r="N95" s="210">
        <f t="shared" si="34"/>
        <v>0</v>
      </c>
      <c r="O95" s="210"/>
      <c r="P95" s="210">
        <f t="shared" si="35"/>
        <v>0</v>
      </c>
      <c r="Q95" s="210"/>
      <c r="R95" s="210">
        <f t="shared" si="36"/>
        <v>0</v>
      </c>
      <c r="S95" s="210"/>
      <c r="T95" s="210">
        <f t="shared" si="37"/>
        <v>0</v>
      </c>
      <c r="U95" s="210"/>
      <c r="V95" s="210">
        <f t="shared" si="38"/>
        <v>0</v>
      </c>
      <c r="W95" s="210"/>
      <c r="X95" s="210">
        <f t="shared" si="39"/>
        <v>0</v>
      </c>
      <c r="Y95" s="210"/>
      <c r="Z95" s="210">
        <f t="shared" si="40"/>
        <v>0</v>
      </c>
      <c r="AA95" s="210"/>
      <c r="AB95" s="210">
        <f t="shared" si="41"/>
        <v>0</v>
      </c>
      <c r="AC95" s="210"/>
      <c r="AD95" s="210">
        <f t="shared" si="42"/>
        <v>0</v>
      </c>
      <c r="AE95" s="210"/>
      <c r="AF95" s="210">
        <f t="shared" si="43"/>
        <v>0</v>
      </c>
      <c r="AG95" s="210"/>
      <c r="AH95" s="210">
        <f t="shared" si="44"/>
        <v>0</v>
      </c>
      <c r="AI95" s="210"/>
      <c r="AJ95" s="210">
        <f t="shared" si="45"/>
        <v>0</v>
      </c>
      <c r="AK95" s="210"/>
      <c r="AL95" s="210">
        <f t="shared" si="46"/>
        <v>0</v>
      </c>
    </row>
    <row r="96" spans="2:53" x14ac:dyDescent="0.35">
      <c r="B96" s="135">
        <f t="shared" si="28"/>
        <v>36</v>
      </c>
      <c r="D96" s="135">
        <f t="shared" si="29"/>
        <v>1</v>
      </c>
      <c r="F96" s="135" t="str">
        <f t="shared" si="30"/>
        <v>x</v>
      </c>
      <c r="H96" s="136" t="str">
        <f t="shared" si="31"/>
        <v>x</v>
      </c>
      <c r="J96" s="210">
        <f t="shared" si="32"/>
        <v>0</v>
      </c>
      <c r="K96" s="210"/>
      <c r="L96" s="210">
        <f t="shared" si="33"/>
        <v>0</v>
      </c>
      <c r="M96" s="210"/>
      <c r="N96" s="210">
        <f t="shared" si="34"/>
        <v>0</v>
      </c>
      <c r="O96" s="210"/>
      <c r="P96" s="210">
        <f t="shared" si="35"/>
        <v>0</v>
      </c>
      <c r="Q96" s="210"/>
      <c r="R96" s="210">
        <f t="shared" si="36"/>
        <v>0</v>
      </c>
      <c r="S96" s="210"/>
      <c r="T96" s="210">
        <f t="shared" si="37"/>
        <v>0</v>
      </c>
      <c r="U96" s="210"/>
      <c r="V96" s="210">
        <f t="shared" si="38"/>
        <v>0</v>
      </c>
      <c r="W96" s="210"/>
      <c r="X96" s="210">
        <f t="shared" si="39"/>
        <v>0</v>
      </c>
      <c r="Y96" s="210"/>
      <c r="Z96" s="210">
        <f t="shared" si="40"/>
        <v>0</v>
      </c>
      <c r="AA96" s="210"/>
      <c r="AB96" s="210">
        <f t="shared" si="41"/>
        <v>0</v>
      </c>
      <c r="AC96" s="210"/>
      <c r="AD96" s="210">
        <f t="shared" si="42"/>
        <v>0</v>
      </c>
      <c r="AE96" s="210"/>
      <c r="AF96" s="210">
        <f t="shared" si="43"/>
        <v>0</v>
      </c>
      <c r="AG96" s="210"/>
      <c r="AH96" s="210">
        <f t="shared" si="44"/>
        <v>0</v>
      </c>
      <c r="AI96" s="210"/>
      <c r="AJ96" s="210">
        <f t="shared" si="45"/>
        <v>0</v>
      </c>
      <c r="AK96" s="210"/>
      <c r="AL96" s="210">
        <f t="shared" si="46"/>
        <v>0</v>
      </c>
    </row>
    <row r="97" spans="2:42" x14ac:dyDescent="0.35">
      <c r="B97" s="168">
        <f t="shared" si="28"/>
        <v>37</v>
      </c>
      <c r="C97" s="169"/>
      <c r="D97" s="168">
        <f t="shared" si="29"/>
        <v>1</v>
      </c>
      <c r="E97" s="171"/>
      <c r="F97" s="168" t="str">
        <f t="shared" si="30"/>
        <v>x</v>
      </c>
      <c r="G97" s="169"/>
      <c r="H97" s="169" t="str">
        <f t="shared" si="31"/>
        <v>x</v>
      </c>
      <c r="I97" s="169"/>
      <c r="J97" s="208">
        <f t="shared" si="32"/>
        <v>0</v>
      </c>
      <c r="K97" s="208"/>
      <c r="L97" s="208">
        <f t="shared" si="33"/>
        <v>0</v>
      </c>
      <c r="M97" s="208"/>
      <c r="N97" s="208">
        <f t="shared" si="34"/>
        <v>0</v>
      </c>
      <c r="O97" s="208"/>
      <c r="P97" s="208">
        <f t="shared" si="35"/>
        <v>0</v>
      </c>
      <c r="Q97" s="208"/>
      <c r="R97" s="208">
        <f t="shared" si="36"/>
        <v>0</v>
      </c>
      <c r="S97" s="208"/>
      <c r="T97" s="208">
        <f t="shared" si="37"/>
        <v>0</v>
      </c>
      <c r="U97" s="208"/>
      <c r="V97" s="208">
        <f t="shared" si="38"/>
        <v>0</v>
      </c>
      <c r="W97" s="208"/>
      <c r="X97" s="208">
        <f t="shared" si="39"/>
        <v>0</v>
      </c>
      <c r="Y97" s="208"/>
      <c r="Z97" s="208">
        <f t="shared" si="40"/>
        <v>0</v>
      </c>
      <c r="AA97" s="208"/>
      <c r="AB97" s="208">
        <f t="shared" si="41"/>
        <v>0</v>
      </c>
      <c r="AC97" s="208"/>
      <c r="AD97" s="208">
        <f t="shared" si="42"/>
        <v>0</v>
      </c>
      <c r="AE97" s="208"/>
      <c r="AF97" s="208">
        <f t="shared" si="43"/>
        <v>0</v>
      </c>
      <c r="AG97" s="208"/>
      <c r="AH97" s="208">
        <f t="shared" si="44"/>
        <v>0</v>
      </c>
      <c r="AI97" s="208"/>
      <c r="AJ97" s="208">
        <f t="shared" si="45"/>
        <v>0</v>
      </c>
      <c r="AK97" s="208"/>
      <c r="AL97" s="208">
        <f t="shared" si="46"/>
        <v>0</v>
      </c>
    </row>
    <row r="98" spans="2:42" x14ac:dyDescent="0.35">
      <c r="B98" s="168">
        <f t="shared" si="28"/>
        <v>38</v>
      </c>
      <c r="C98" s="169"/>
      <c r="D98" s="168">
        <f t="shared" si="29"/>
        <v>1</v>
      </c>
      <c r="E98" s="171"/>
      <c r="F98" s="168" t="str">
        <f t="shared" si="30"/>
        <v>x</v>
      </c>
      <c r="G98" s="169"/>
      <c r="H98" s="169" t="str">
        <f t="shared" si="31"/>
        <v>x</v>
      </c>
      <c r="I98" s="169"/>
      <c r="J98" s="208">
        <f t="shared" si="32"/>
        <v>0</v>
      </c>
      <c r="K98" s="208"/>
      <c r="L98" s="208">
        <f t="shared" si="33"/>
        <v>0</v>
      </c>
      <c r="M98" s="208"/>
      <c r="N98" s="208">
        <f t="shared" si="34"/>
        <v>0</v>
      </c>
      <c r="O98" s="208"/>
      <c r="P98" s="208">
        <f t="shared" si="35"/>
        <v>0</v>
      </c>
      <c r="Q98" s="208"/>
      <c r="R98" s="208">
        <f t="shared" si="36"/>
        <v>0</v>
      </c>
      <c r="S98" s="208"/>
      <c r="T98" s="208">
        <f t="shared" si="37"/>
        <v>0</v>
      </c>
      <c r="U98" s="208"/>
      <c r="V98" s="208">
        <f t="shared" si="38"/>
        <v>0</v>
      </c>
      <c r="W98" s="208"/>
      <c r="X98" s="208">
        <f t="shared" si="39"/>
        <v>0</v>
      </c>
      <c r="Y98" s="208"/>
      <c r="Z98" s="208">
        <f t="shared" si="40"/>
        <v>0</v>
      </c>
      <c r="AA98" s="208"/>
      <c r="AB98" s="208">
        <f t="shared" si="41"/>
        <v>0</v>
      </c>
      <c r="AC98" s="208"/>
      <c r="AD98" s="208">
        <f t="shared" si="42"/>
        <v>0</v>
      </c>
      <c r="AE98" s="208"/>
      <c r="AF98" s="208">
        <f t="shared" si="43"/>
        <v>0</v>
      </c>
      <c r="AG98" s="208"/>
      <c r="AH98" s="208">
        <f t="shared" si="44"/>
        <v>0</v>
      </c>
      <c r="AI98" s="208"/>
      <c r="AJ98" s="208">
        <f t="shared" si="45"/>
        <v>0</v>
      </c>
      <c r="AK98" s="208"/>
      <c r="AL98" s="208">
        <f t="shared" si="46"/>
        <v>0</v>
      </c>
    </row>
    <row r="99" spans="2:42" x14ac:dyDescent="0.35">
      <c r="B99" s="168">
        <f t="shared" si="28"/>
        <v>39</v>
      </c>
      <c r="C99" s="169"/>
      <c r="D99" s="168">
        <f t="shared" si="29"/>
        <v>1</v>
      </c>
      <c r="E99" s="171"/>
      <c r="F99" s="168" t="str">
        <f t="shared" si="30"/>
        <v>x</v>
      </c>
      <c r="G99" s="169"/>
      <c r="H99" s="169" t="str">
        <f t="shared" si="31"/>
        <v>x</v>
      </c>
      <c r="I99" s="169"/>
      <c r="J99" s="208">
        <f t="shared" si="32"/>
        <v>0</v>
      </c>
      <c r="K99" s="208"/>
      <c r="L99" s="208">
        <f t="shared" si="33"/>
        <v>0</v>
      </c>
      <c r="M99" s="208"/>
      <c r="N99" s="208">
        <f t="shared" si="34"/>
        <v>0</v>
      </c>
      <c r="O99" s="208"/>
      <c r="P99" s="208">
        <f t="shared" si="35"/>
        <v>0</v>
      </c>
      <c r="Q99" s="208"/>
      <c r="R99" s="208">
        <f t="shared" si="36"/>
        <v>0</v>
      </c>
      <c r="S99" s="208"/>
      <c r="T99" s="208">
        <f t="shared" si="37"/>
        <v>0</v>
      </c>
      <c r="U99" s="208"/>
      <c r="V99" s="208">
        <f t="shared" si="38"/>
        <v>0</v>
      </c>
      <c r="W99" s="208"/>
      <c r="X99" s="208">
        <f t="shared" si="39"/>
        <v>0</v>
      </c>
      <c r="Y99" s="208"/>
      <c r="Z99" s="208">
        <f t="shared" si="40"/>
        <v>0</v>
      </c>
      <c r="AA99" s="208"/>
      <c r="AB99" s="208">
        <f t="shared" si="41"/>
        <v>0</v>
      </c>
      <c r="AC99" s="208"/>
      <c r="AD99" s="208">
        <f t="shared" si="42"/>
        <v>0</v>
      </c>
      <c r="AE99" s="208"/>
      <c r="AF99" s="208">
        <f t="shared" si="43"/>
        <v>0</v>
      </c>
      <c r="AG99" s="208"/>
      <c r="AH99" s="208">
        <f t="shared" si="44"/>
        <v>0</v>
      </c>
      <c r="AI99" s="208"/>
      <c r="AJ99" s="208">
        <f t="shared" si="45"/>
        <v>0</v>
      </c>
      <c r="AK99" s="208"/>
      <c r="AL99" s="208">
        <f t="shared" si="46"/>
        <v>0</v>
      </c>
    </row>
    <row r="100" spans="2:42" s="181" customFormat="1" x14ac:dyDescent="0.35">
      <c r="B100" s="180">
        <f t="shared" si="28"/>
        <v>40</v>
      </c>
      <c r="D100" s="180">
        <f t="shared" si="29"/>
        <v>1</v>
      </c>
      <c r="E100" s="183"/>
      <c r="F100" s="135" t="str">
        <f t="shared" si="30"/>
        <v>x</v>
      </c>
      <c r="H100" s="181" t="str">
        <f t="shared" si="31"/>
        <v>x</v>
      </c>
      <c r="J100" s="213">
        <f t="shared" si="32"/>
        <v>0</v>
      </c>
      <c r="K100" s="213"/>
      <c r="L100" s="213">
        <f t="shared" si="33"/>
        <v>0</v>
      </c>
      <c r="M100" s="213"/>
      <c r="N100" s="213">
        <f t="shared" si="34"/>
        <v>0</v>
      </c>
      <c r="O100" s="213"/>
      <c r="P100" s="213">
        <f t="shared" si="35"/>
        <v>0</v>
      </c>
      <c r="Q100" s="213"/>
      <c r="R100" s="213">
        <f t="shared" si="36"/>
        <v>0</v>
      </c>
      <c r="S100" s="213"/>
      <c r="T100" s="213">
        <f t="shared" si="37"/>
        <v>0</v>
      </c>
      <c r="U100" s="213"/>
      <c r="V100" s="213">
        <f t="shared" si="38"/>
        <v>0</v>
      </c>
      <c r="W100" s="213"/>
      <c r="X100" s="213">
        <f t="shared" si="39"/>
        <v>0</v>
      </c>
      <c r="Y100" s="213"/>
      <c r="Z100" s="213">
        <f t="shared" si="40"/>
        <v>0</v>
      </c>
      <c r="AA100" s="213"/>
      <c r="AB100" s="213">
        <f t="shared" si="41"/>
        <v>0</v>
      </c>
      <c r="AC100" s="213"/>
      <c r="AD100" s="213">
        <f t="shared" si="42"/>
        <v>0</v>
      </c>
      <c r="AE100" s="213"/>
      <c r="AF100" s="213">
        <f t="shared" si="43"/>
        <v>0</v>
      </c>
      <c r="AG100" s="213"/>
      <c r="AH100" s="213">
        <f t="shared" si="44"/>
        <v>0</v>
      </c>
      <c r="AI100" s="213"/>
      <c r="AJ100" s="213">
        <f t="shared" si="45"/>
        <v>0</v>
      </c>
      <c r="AK100" s="213"/>
      <c r="AL100" s="213">
        <f t="shared" si="46"/>
        <v>0</v>
      </c>
    </row>
    <row r="101" spans="2:42" ht="9.9499999999999993" customHeight="1" x14ac:dyDescent="0.35">
      <c r="D101" s="135"/>
      <c r="J101" s="215"/>
      <c r="K101" s="210"/>
      <c r="L101" s="215"/>
      <c r="M101" s="210"/>
      <c r="N101" s="215"/>
      <c r="O101" s="210"/>
      <c r="P101" s="215"/>
      <c r="Q101" s="210"/>
      <c r="R101" s="215"/>
      <c r="S101" s="210"/>
      <c r="T101" s="215"/>
      <c r="U101" s="210"/>
      <c r="V101" s="215"/>
      <c r="W101" s="210"/>
      <c r="X101" s="215"/>
      <c r="Y101" s="210"/>
      <c r="Z101" s="215"/>
      <c r="AA101" s="210"/>
      <c r="AB101" s="215"/>
      <c r="AC101" s="210"/>
      <c r="AD101" s="215"/>
      <c r="AE101" s="210"/>
      <c r="AF101" s="215"/>
      <c r="AG101" s="210"/>
      <c r="AH101" s="215"/>
      <c r="AI101" s="210"/>
      <c r="AJ101" s="215"/>
      <c r="AK101" s="210"/>
      <c r="AL101" s="215"/>
    </row>
    <row r="102" spans="2:42" ht="24" thickBot="1" x14ac:dyDescent="0.4">
      <c r="D102" s="135"/>
      <c r="H102" s="141" t="str">
        <f>+H52</f>
        <v>Anticipated Expenditures, By Year</v>
      </c>
      <c r="J102" s="216">
        <f>SUM(J61:J100)</f>
        <v>0</v>
      </c>
      <c r="K102" s="217"/>
      <c r="L102" s="216">
        <f>SUM(L61:L100)</f>
        <v>0</v>
      </c>
      <c r="M102" s="217"/>
      <c r="N102" s="216">
        <f>SUM(N61:N100)</f>
        <v>0</v>
      </c>
      <c r="O102" s="217"/>
      <c r="P102" s="216">
        <f>SUM(P61:P100)</f>
        <v>0</v>
      </c>
      <c r="Q102" s="217"/>
      <c r="R102" s="216">
        <f>SUM(R61:R100)</f>
        <v>0</v>
      </c>
      <c r="S102" s="217"/>
      <c r="T102" s="216">
        <f>SUM(T61:T100)</f>
        <v>0</v>
      </c>
      <c r="U102" s="217"/>
      <c r="V102" s="216">
        <f>SUM(V61:V100)</f>
        <v>0</v>
      </c>
      <c r="W102" s="217"/>
      <c r="X102" s="216">
        <f>SUM(X61:X100)</f>
        <v>0</v>
      </c>
      <c r="Y102" s="217"/>
      <c r="Z102" s="216">
        <f>SUM(Z61:Z100)</f>
        <v>0</v>
      </c>
      <c r="AA102" s="217"/>
      <c r="AB102" s="216">
        <f>SUM(AB61:AB100)</f>
        <v>0</v>
      </c>
      <c r="AC102" s="217"/>
      <c r="AD102" s="216">
        <f>SUM(AD61:AD100)</f>
        <v>0</v>
      </c>
      <c r="AE102" s="217"/>
      <c r="AF102" s="216">
        <f>SUM(AF61:AF100)</f>
        <v>0</v>
      </c>
      <c r="AG102" s="217"/>
      <c r="AH102" s="216">
        <f>SUM(AH61:AH100)</f>
        <v>0</v>
      </c>
      <c r="AI102" s="217"/>
      <c r="AJ102" s="216">
        <f>SUM(AJ61:AJ100)</f>
        <v>0</v>
      </c>
      <c r="AK102" s="217"/>
      <c r="AL102" s="216">
        <f>SUM(AL61:AL100)</f>
        <v>0</v>
      </c>
      <c r="AN102" s="178"/>
      <c r="AP102" s="178"/>
    </row>
    <row r="103" spans="2:42" ht="24" thickTop="1" x14ac:dyDescent="0.35">
      <c r="D103" s="135"/>
      <c r="J103" s="178"/>
      <c r="K103" s="178"/>
      <c r="L103" s="178"/>
      <c r="M103" s="178"/>
      <c r="N103" s="178"/>
      <c r="O103" s="178"/>
      <c r="P103" s="178"/>
      <c r="Q103" s="178"/>
      <c r="R103" s="178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7"/>
      <c r="AD103" s="207"/>
      <c r="AE103" s="207"/>
      <c r="AF103" s="207"/>
      <c r="AG103" s="207"/>
      <c r="AH103" s="207"/>
      <c r="AI103" s="207"/>
      <c r="AJ103" s="207"/>
      <c r="AK103" s="207"/>
      <c r="AL103" s="207"/>
    </row>
    <row r="104" spans="2:42" x14ac:dyDescent="0.35">
      <c r="D104" s="135"/>
      <c r="J104" s="178"/>
      <c r="K104" s="178"/>
      <c r="L104" s="178"/>
      <c r="M104" s="178"/>
      <c r="N104" s="178"/>
      <c r="O104" s="178"/>
      <c r="P104" s="178"/>
      <c r="Q104" s="178"/>
      <c r="R104" s="178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/>
      <c r="AL104" s="207"/>
    </row>
    <row r="105" spans="2:42" x14ac:dyDescent="0.35">
      <c r="D105" s="135"/>
      <c r="J105" s="178"/>
      <c r="K105" s="178"/>
      <c r="L105" s="178"/>
      <c r="M105" s="178"/>
      <c r="N105" s="178"/>
      <c r="O105" s="178"/>
      <c r="P105" s="178"/>
      <c r="Q105" s="178"/>
      <c r="R105" s="178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7"/>
      <c r="AD105" s="207"/>
      <c r="AE105" s="207"/>
      <c r="AF105" s="207"/>
      <c r="AG105" s="207"/>
      <c r="AH105" s="207"/>
      <c r="AI105" s="207"/>
      <c r="AJ105" s="207"/>
      <c r="AK105" s="207"/>
      <c r="AL105" s="207"/>
    </row>
    <row r="106" spans="2:42" x14ac:dyDescent="0.35">
      <c r="D106" s="135"/>
      <c r="J106" s="178"/>
      <c r="K106" s="178"/>
      <c r="L106" s="178"/>
      <c r="M106" s="178"/>
      <c r="N106" s="178"/>
      <c r="O106" s="178"/>
      <c r="P106" s="178"/>
      <c r="Q106" s="178"/>
      <c r="R106" s="178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/>
      <c r="AL106" s="207"/>
    </row>
    <row r="107" spans="2:42" x14ac:dyDescent="0.35">
      <c r="D107" s="135"/>
      <c r="J107" s="178"/>
      <c r="K107" s="178"/>
      <c r="L107" s="178"/>
      <c r="M107" s="178"/>
      <c r="N107" s="178"/>
      <c r="O107" s="178"/>
      <c r="P107" s="178"/>
      <c r="Q107" s="178"/>
      <c r="R107" s="178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7"/>
      <c r="AD107" s="207"/>
      <c r="AE107" s="207"/>
      <c r="AF107" s="207"/>
      <c r="AG107" s="207"/>
      <c r="AH107" s="207"/>
      <c r="AI107" s="207"/>
      <c r="AJ107" s="207"/>
      <c r="AK107" s="207"/>
      <c r="AL107" s="207"/>
    </row>
    <row r="108" spans="2:42" x14ac:dyDescent="0.35">
      <c r="D108" s="135"/>
      <c r="J108" s="178"/>
      <c r="K108" s="178"/>
      <c r="L108" s="178"/>
      <c r="M108" s="178"/>
      <c r="N108" s="178"/>
      <c r="O108" s="178"/>
      <c r="P108" s="178"/>
      <c r="Q108" s="178"/>
      <c r="R108" s="178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  <c r="AL108" s="207"/>
    </row>
    <row r="109" spans="2:42" x14ac:dyDescent="0.35">
      <c r="D109" s="135"/>
      <c r="J109" s="178"/>
      <c r="K109" s="178"/>
      <c r="L109" s="178"/>
      <c r="M109" s="178"/>
      <c r="N109" s="178"/>
      <c r="O109" s="178"/>
      <c r="P109" s="178"/>
      <c r="Q109" s="178"/>
      <c r="R109" s="178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  <c r="AL109" s="207"/>
    </row>
    <row r="110" spans="2:42" x14ac:dyDescent="0.35">
      <c r="D110" s="135"/>
      <c r="J110" s="178"/>
      <c r="K110" s="178"/>
      <c r="L110" s="178"/>
      <c r="M110" s="178"/>
      <c r="N110" s="178"/>
      <c r="O110" s="178"/>
      <c r="P110" s="178"/>
      <c r="Q110" s="178"/>
      <c r="R110" s="178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  <c r="AL110" s="207"/>
    </row>
    <row r="111" spans="2:42" x14ac:dyDescent="0.35">
      <c r="D111" s="135"/>
      <c r="J111" s="178"/>
      <c r="K111" s="178"/>
      <c r="L111" s="178"/>
      <c r="M111" s="178"/>
      <c r="N111" s="178"/>
      <c r="O111" s="178"/>
      <c r="P111" s="178"/>
      <c r="Q111" s="178"/>
      <c r="R111" s="178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</row>
    <row r="112" spans="2:42" x14ac:dyDescent="0.35">
      <c r="D112" s="135"/>
      <c r="J112" s="178"/>
      <c r="K112" s="178"/>
      <c r="L112" s="178"/>
      <c r="M112" s="178"/>
      <c r="N112" s="178"/>
      <c r="O112" s="178"/>
      <c r="P112" s="178"/>
      <c r="Q112" s="178"/>
      <c r="R112" s="178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  <c r="AL112" s="207"/>
    </row>
    <row r="113" spans="4:38" x14ac:dyDescent="0.35">
      <c r="D113" s="135"/>
      <c r="J113" s="178"/>
      <c r="K113" s="178"/>
      <c r="L113" s="178"/>
      <c r="M113" s="178"/>
      <c r="N113" s="178"/>
      <c r="O113" s="178"/>
      <c r="P113" s="178"/>
      <c r="Q113" s="178"/>
      <c r="R113" s="178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  <c r="AL113" s="207"/>
    </row>
    <row r="114" spans="4:38" x14ac:dyDescent="0.35">
      <c r="D114" s="135"/>
      <c r="J114" s="178"/>
      <c r="K114" s="178"/>
      <c r="L114" s="178"/>
      <c r="M114" s="178"/>
      <c r="N114" s="178"/>
      <c r="O114" s="178"/>
      <c r="P114" s="178"/>
      <c r="Q114" s="178"/>
      <c r="R114" s="178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  <c r="AL114" s="207"/>
    </row>
  </sheetData>
  <mergeCells count="8">
    <mergeCell ref="V6:V7"/>
    <mergeCell ref="B56:B57"/>
    <mergeCell ref="B6:B7"/>
    <mergeCell ref="J6:J7"/>
    <mergeCell ref="L6:N6"/>
    <mergeCell ref="P6:P7"/>
    <mergeCell ref="R6:R7"/>
    <mergeCell ref="T6:T7"/>
  </mergeCells>
  <printOptions horizontalCentered="1"/>
  <pageMargins left="0.25" right="0.25" top="0.75" bottom="0.75" header="0.3" footer="0.3"/>
  <pageSetup paperSize="3" scale="30" orientation="landscape" copies="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8A5E-70FC-4700-BD86-9E53FF772C32}">
  <sheetPr>
    <pageSetUpPr fitToPage="1"/>
  </sheetPr>
  <dimension ref="A1:CE119"/>
  <sheetViews>
    <sheetView zoomScale="32" zoomScaleNormal="32" workbookViewId="0">
      <selection activeCell="W10" sqref="W10"/>
    </sheetView>
  </sheetViews>
  <sheetFormatPr defaultRowHeight="23.25" x14ac:dyDescent="0.35"/>
  <cols>
    <col min="1" max="1" width="8.42578125" style="135" customWidth="1"/>
    <col min="2" max="2" width="1.7109375" style="136" customWidth="1"/>
    <col min="3" max="3" width="18.7109375" style="178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92.5703125" style="136" bestFit="1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28515625" style="135" customWidth="1"/>
    <col min="14" max="14" width="1.7109375" style="136" customWidth="1"/>
    <col min="15" max="15" width="22.42578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18.140625" style="136" customWidth="1"/>
    <col min="22" max="22" width="1.7109375" style="136" customWidth="1"/>
    <col min="23" max="23" width="19.7109375" style="136" bestFit="1" customWidth="1"/>
    <col min="24" max="24" width="1.7109375" style="136" customWidth="1"/>
    <col min="25" max="25" width="19.7109375" style="136" bestFit="1" customWidth="1"/>
    <col min="26" max="26" width="1.7109375" style="136" customWidth="1"/>
    <col min="27" max="27" width="19.7109375" style="136" bestFit="1" customWidth="1"/>
    <col min="28" max="28" width="1.7109375" style="136" customWidth="1"/>
    <col min="29" max="29" width="19.7109375" style="136" bestFit="1" customWidth="1"/>
    <col min="30" max="30" width="1.7109375" style="136" customWidth="1"/>
    <col min="31" max="31" width="19.7109375" style="136" bestFit="1" customWidth="1"/>
    <col min="32" max="32" width="1.7109375" style="136" customWidth="1"/>
    <col min="33" max="33" width="19.7109375" style="136" bestFit="1" customWidth="1"/>
    <col min="34" max="34" width="1.7109375" style="136" customWidth="1"/>
    <col min="35" max="35" width="19.7109375" style="136" bestFit="1" customWidth="1"/>
    <col min="36" max="36" width="1.7109375" style="136" customWidth="1"/>
    <col min="37" max="37" width="19.7109375" style="136" bestFit="1" customWidth="1"/>
    <col min="38" max="38" width="1.7109375" style="136" customWidth="1"/>
    <col min="39" max="39" width="19.7109375" style="136" bestFit="1" customWidth="1"/>
    <col min="40" max="40" width="1.7109375" style="136" customWidth="1"/>
    <col min="41" max="41" width="19.7109375" style="136" bestFit="1" customWidth="1"/>
    <col min="42" max="42" width="1.7109375" style="136" customWidth="1"/>
    <col min="43" max="43" width="19.7109375" style="136" bestFit="1" customWidth="1"/>
    <col min="44" max="44" width="1.7109375" style="136" customWidth="1"/>
    <col min="45" max="45" width="19.7109375" style="136" bestFit="1" customWidth="1"/>
    <col min="46" max="46" width="1.7109375" style="136" customWidth="1"/>
    <col min="47" max="47" width="19.7109375" style="136" bestFit="1" customWidth="1"/>
    <col min="48" max="48" width="1.7109375" style="136" customWidth="1"/>
    <col min="49" max="49" width="19.7109375" style="136" bestFit="1" customWidth="1"/>
    <col min="50" max="50" width="1.7109375" style="136" customWidth="1"/>
    <col min="51" max="51" width="19.7109375" style="136" bestFit="1" customWidth="1"/>
    <col min="52" max="52" width="1.7109375" style="136" customWidth="1"/>
    <col min="53" max="53" width="13.42578125" style="136" bestFit="1" customWidth="1"/>
    <col min="54" max="54" width="1.7109375" style="136" customWidth="1"/>
    <col min="55" max="55" width="13.42578125" style="136" bestFit="1" customWidth="1"/>
    <col min="56" max="56" width="1.7109375" style="136" customWidth="1"/>
    <col min="57" max="57" width="13.42578125" style="136" bestFit="1" customWidth="1"/>
    <col min="58" max="58" width="1.7109375" style="136" customWidth="1"/>
    <col min="59" max="59" width="13.42578125" style="136" bestFit="1" customWidth="1"/>
    <col min="60" max="60" width="1.7109375" style="136" customWidth="1"/>
    <col min="61" max="61" width="13.42578125" style="136" customWidth="1"/>
    <col min="62" max="62" width="1.7109375" style="136" customWidth="1"/>
    <col min="63" max="63" width="9.140625" style="136"/>
    <col min="64" max="64" width="1.7109375" style="136" customWidth="1"/>
    <col min="65" max="65" width="9.140625" style="136"/>
    <col min="66" max="66" width="1.7109375" style="136" customWidth="1"/>
    <col min="67" max="67" width="9.140625" style="136"/>
    <col min="68" max="68" width="1.7109375" style="136" customWidth="1"/>
    <col min="69" max="69" width="14.5703125" style="136" bestFit="1" customWidth="1"/>
    <col min="70" max="70" width="1.7109375" style="136" customWidth="1"/>
    <col min="71" max="71" width="9.140625" style="136"/>
    <col min="72" max="72" width="1.7109375" style="136" customWidth="1"/>
    <col min="73" max="73" width="9.140625" style="136"/>
    <col min="74" max="74" width="1.7109375" style="136" customWidth="1"/>
    <col min="75" max="75" width="9.140625" style="136"/>
    <col min="76" max="76" width="1.7109375" style="136" customWidth="1"/>
    <col min="77" max="77" width="9.140625" style="136"/>
    <col min="78" max="78" width="1.7109375" style="136" customWidth="1"/>
    <col min="79" max="16384" width="9.140625" style="136"/>
  </cols>
  <sheetData>
    <row r="1" spans="1:83" x14ac:dyDescent="0.35">
      <c r="M1" s="223"/>
    </row>
    <row r="2" spans="1:83" x14ac:dyDescent="0.35">
      <c r="C2" s="137"/>
    </row>
    <row r="3" spans="1:83" x14ac:dyDescent="0.35">
      <c r="C3" s="137"/>
      <c r="G3" s="142" t="s">
        <v>31</v>
      </c>
    </row>
    <row r="4" spans="1:83" ht="116.45" customHeight="1" x14ac:dyDescent="0.35">
      <c r="C4" s="137"/>
    </row>
    <row r="5" spans="1:83" x14ac:dyDescent="0.35">
      <c r="C5" s="137"/>
      <c r="G5" s="144" t="s">
        <v>8</v>
      </c>
      <c r="O5" s="239"/>
      <c r="U5" s="145" t="s">
        <v>10</v>
      </c>
    </row>
    <row r="6" spans="1:83" x14ac:dyDescent="0.35">
      <c r="C6" s="149"/>
      <c r="G6" s="142" t="s">
        <v>9</v>
      </c>
      <c r="O6" s="239"/>
      <c r="T6" s="146" t="s">
        <v>11</v>
      </c>
      <c r="U6" s="147">
        <f>+'Roofs 1'!V3</f>
        <v>0.03</v>
      </c>
      <c r="V6" s="148" t="s">
        <v>13</v>
      </c>
    </row>
    <row r="7" spans="1:83" x14ac:dyDescent="0.35">
      <c r="C7" s="137"/>
      <c r="E7" s="150"/>
      <c r="F7" s="151"/>
      <c r="G7" s="152" t="str">
        <f>'Funding Plan'!G9</f>
        <v>Association</v>
      </c>
      <c r="H7" s="151"/>
      <c r="I7" s="150"/>
      <c r="T7" s="146" t="s">
        <v>12</v>
      </c>
      <c r="U7" s="141" t="s">
        <v>17</v>
      </c>
    </row>
    <row r="8" spans="1:83" x14ac:dyDescent="0.35">
      <c r="C8" s="137"/>
    </row>
    <row r="9" spans="1:83" s="141" customFormat="1" ht="28.5" customHeight="1" x14ac:dyDescent="0.35">
      <c r="A9" s="283" t="s">
        <v>0</v>
      </c>
      <c r="C9" s="153" t="s">
        <v>32</v>
      </c>
      <c r="D9" s="138"/>
      <c r="E9" s="142"/>
      <c r="I9" s="281" t="s">
        <v>22</v>
      </c>
      <c r="K9" s="285" t="s">
        <v>5</v>
      </c>
      <c r="L9" s="285"/>
      <c r="M9" s="285"/>
      <c r="O9" s="281" t="s">
        <v>21</v>
      </c>
      <c r="Q9" s="286" t="str">
        <f>+'Roofs 1'!R6</f>
        <v>2024     Unit Cost</v>
      </c>
      <c r="S9" s="288" t="str">
        <f>+'Roofs 1'!T6</f>
        <v xml:space="preserve">2024 Cost of Replacement </v>
      </c>
      <c r="U9" s="281" t="s">
        <v>6</v>
      </c>
      <c r="V9" s="154"/>
      <c r="W9" s="142">
        <v>1</v>
      </c>
      <c r="X9" s="142"/>
      <c r="Y9" s="142">
        <v>2</v>
      </c>
      <c r="Z9" s="142"/>
      <c r="AA9" s="142">
        <v>3</v>
      </c>
      <c r="AB9" s="142"/>
      <c r="AC9" s="142">
        <v>4</v>
      </c>
      <c r="AD9" s="142"/>
      <c r="AE9" s="142">
        <v>5</v>
      </c>
      <c r="AF9" s="142"/>
      <c r="AG9" s="142">
        <v>6</v>
      </c>
      <c r="AH9" s="142"/>
      <c r="AI9" s="142">
        <v>7</v>
      </c>
      <c r="AJ9" s="142"/>
      <c r="AK9" s="142">
        <v>8</v>
      </c>
      <c r="AL9" s="142"/>
      <c r="AM9" s="142">
        <v>9</v>
      </c>
      <c r="AN9" s="142"/>
      <c r="AO9" s="142">
        <v>10</v>
      </c>
      <c r="AP9" s="142"/>
      <c r="AQ9" s="142">
        <v>11</v>
      </c>
      <c r="AR9" s="142"/>
      <c r="AS9" s="142">
        <v>12</v>
      </c>
      <c r="AT9" s="142"/>
      <c r="AU9" s="142">
        <v>13</v>
      </c>
      <c r="AV9" s="142"/>
      <c r="AW9" s="142">
        <v>14</v>
      </c>
      <c r="AX9" s="142"/>
      <c r="AY9" s="142">
        <v>15</v>
      </c>
      <c r="AZ9" s="142"/>
    </row>
    <row r="10" spans="1:83" s="155" customFormat="1" ht="27.75" customHeight="1" x14ac:dyDescent="0.25">
      <c r="A10" s="284"/>
      <c r="C10" s="156" t="s">
        <v>30</v>
      </c>
      <c r="D10" s="157"/>
      <c r="E10" s="158" t="s">
        <v>1</v>
      </c>
      <c r="G10" s="158" t="s">
        <v>2</v>
      </c>
      <c r="I10" s="282"/>
      <c r="K10" s="158" t="s">
        <v>3</v>
      </c>
      <c r="M10" s="224" t="s">
        <v>4</v>
      </c>
      <c r="O10" s="282"/>
      <c r="Q10" s="287"/>
      <c r="S10" s="289"/>
      <c r="U10" s="282"/>
      <c r="V10" s="154"/>
      <c r="W10" s="218">
        <f>+'Roofs 1'!X7</f>
        <v>2024</v>
      </c>
      <c r="X10" s="158"/>
      <c r="Y10" s="158">
        <f t="shared" ref="Y10:AY10" si="0">W10+1</f>
        <v>2025</v>
      </c>
      <c r="Z10" s="158">
        <f t="shared" si="0"/>
        <v>1</v>
      </c>
      <c r="AA10" s="158">
        <f t="shared" si="0"/>
        <v>2026</v>
      </c>
      <c r="AB10" s="158">
        <f t="shared" si="0"/>
        <v>2</v>
      </c>
      <c r="AC10" s="158">
        <f t="shared" si="0"/>
        <v>2027</v>
      </c>
      <c r="AD10" s="158">
        <f t="shared" si="0"/>
        <v>3</v>
      </c>
      <c r="AE10" s="158">
        <f t="shared" si="0"/>
        <v>2028</v>
      </c>
      <c r="AF10" s="158">
        <f t="shared" si="0"/>
        <v>4</v>
      </c>
      <c r="AG10" s="158">
        <f t="shared" si="0"/>
        <v>2029</v>
      </c>
      <c r="AH10" s="158">
        <f t="shared" si="0"/>
        <v>5</v>
      </c>
      <c r="AI10" s="158">
        <f t="shared" si="0"/>
        <v>2030</v>
      </c>
      <c r="AJ10" s="158">
        <f t="shared" si="0"/>
        <v>6</v>
      </c>
      <c r="AK10" s="158">
        <f t="shared" si="0"/>
        <v>2031</v>
      </c>
      <c r="AL10" s="158">
        <f t="shared" si="0"/>
        <v>7</v>
      </c>
      <c r="AM10" s="158">
        <f t="shared" si="0"/>
        <v>2032</v>
      </c>
      <c r="AN10" s="158">
        <f t="shared" si="0"/>
        <v>8</v>
      </c>
      <c r="AO10" s="158">
        <f t="shared" si="0"/>
        <v>2033</v>
      </c>
      <c r="AP10" s="158">
        <f t="shared" si="0"/>
        <v>9</v>
      </c>
      <c r="AQ10" s="158">
        <f t="shared" si="0"/>
        <v>2034</v>
      </c>
      <c r="AR10" s="158">
        <f t="shared" si="0"/>
        <v>10</v>
      </c>
      <c r="AS10" s="158">
        <f t="shared" si="0"/>
        <v>2035</v>
      </c>
      <c r="AT10" s="158">
        <f t="shared" si="0"/>
        <v>11</v>
      </c>
      <c r="AU10" s="158">
        <f t="shared" si="0"/>
        <v>2036</v>
      </c>
      <c r="AV10" s="158">
        <f t="shared" si="0"/>
        <v>12</v>
      </c>
      <c r="AW10" s="158">
        <f t="shared" si="0"/>
        <v>2037</v>
      </c>
      <c r="AX10" s="158">
        <f t="shared" si="0"/>
        <v>13</v>
      </c>
      <c r="AY10" s="158">
        <f t="shared" si="0"/>
        <v>2038</v>
      </c>
    </row>
    <row r="11" spans="1:83" s="155" customFormat="1" ht="9.4" customHeight="1" x14ac:dyDescent="0.25">
      <c r="A11" s="154"/>
      <c r="C11" s="161"/>
      <c r="D11" s="157"/>
      <c r="E11" s="154"/>
      <c r="G11" s="154"/>
      <c r="I11" s="154"/>
      <c r="K11" s="154"/>
      <c r="M11" s="154"/>
      <c r="Q11" s="162"/>
      <c r="S11" s="163"/>
      <c r="U11" s="154"/>
      <c r="V11" s="154"/>
    </row>
    <row r="12" spans="1:83" x14ac:dyDescent="0.35">
      <c r="C12" s="137"/>
      <c r="G12" s="144" t="s">
        <v>47</v>
      </c>
      <c r="O12" s="136"/>
      <c r="Q12" s="139"/>
      <c r="S12" s="140"/>
      <c r="T12" s="136"/>
      <c r="U12" s="141"/>
      <c r="V12" s="141"/>
      <c r="W12" s="135"/>
      <c r="X12" s="135">
        <f>+'Roofs 1'!Y9</f>
        <v>0</v>
      </c>
      <c r="Y12" s="135"/>
      <c r="Z12" s="135">
        <f>+'Roofs 1'!AA9</f>
        <v>0</v>
      </c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</row>
    <row r="13" spans="1:83" ht="9.4" customHeight="1" x14ac:dyDescent="0.35">
      <c r="C13" s="137"/>
      <c r="G13" s="144"/>
      <c r="O13" s="136"/>
      <c r="Q13" s="165"/>
      <c r="R13" s="135"/>
      <c r="S13" s="166"/>
      <c r="T13" s="135"/>
      <c r="U13" s="142"/>
      <c r="V13" s="141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167"/>
      <c r="CC13" s="167"/>
      <c r="CD13" s="167"/>
      <c r="CE13" s="167"/>
    </row>
    <row r="14" spans="1:83" x14ac:dyDescent="0.35">
      <c r="A14" s="219">
        <v>1</v>
      </c>
      <c r="B14" s="169"/>
      <c r="C14" s="174">
        <v>1</v>
      </c>
      <c r="D14" s="171"/>
      <c r="E14" s="168" t="s">
        <v>45</v>
      </c>
      <c r="F14" s="169"/>
      <c r="G14" s="169" t="s">
        <v>45</v>
      </c>
      <c r="H14" s="169"/>
      <c r="I14" s="168" t="s">
        <v>45</v>
      </c>
      <c r="J14" s="169"/>
      <c r="K14" s="225" t="s">
        <v>45</v>
      </c>
      <c r="L14" s="169"/>
      <c r="M14" s="168">
        <v>1</v>
      </c>
      <c r="N14" s="237">
        <f>'Roofs 1'!P4</f>
        <v>2023</v>
      </c>
      <c r="O14" s="241">
        <f t="shared" ref="O14:O22" si="1">+$W$10-1+M14</f>
        <v>2024</v>
      </c>
      <c r="P14" s="169"/>
      <c r="Q14" s="172">
        <v>1</v>
      </c>
      <c r="R14" s="173"/>
      <c r="S14" s="174">
        <f t="shared" ref="S14:S22" si="2">C14*Q14</f>
        <v>1</v>
      </c>
      <c r="T14" s="174"/>
      <c r="U14" s="175">
        <f t="shared" ref="U14:U22" si="3">SUM(W14:AY14)+SUM(I64:AK64)</f>
        <v>1</v>
      </c>
      <c r="V14" s="171"/>
      <c r="W14" s="174">
        <f t="shared" ref="W14:W37" si="4">IF(W$9=$M14,FV($U$6,$M14-1,,-$S14,0),0)</f>
        <v>1</v>
      </c>
      <c r="X14" s="174"/>
      <c r="Y14" s="174">
        <f t="shared" ref="Y14:Y37" si="5">IF(Y$9=$M14,FV($U$6,$M14-1,,-$S14,0),0)</f>
        <v>0</v>
      </c>
      <c r="Z14" s="174"/>
      <c r="AA14" s="174">
        <f t="shared" ref="AA14:AA37" si="6">IF(AA$9=$M14,FV($U$6,$M14-1,,-$S14,0),0)</f>
        <v>0</v>
      </c>
      <c r="AB14" s="174"/>
      <c r="AC14" s="174">
        <f t="shared" ref="AC14:AC37" si="7">IF(AC$9=$M14,FV($U$6,$M14-1,,-$S14,0),0)</f>
        <v>0</v>
      </c>
      <c r="AD14" s="174"/>
      <c r="AE14" s="174">
        <f t="shared" ref="AE14:AE37" si="8">IF(AE$9=$M14,FV($U$6,$M14-1,,-$S14,0),0)</f>
        <v>0</v>
      </c>
      <c r="AF14" s="174"/>
      <c r="AG14" s="174">
        <f t="shared" ref="AG14:AG37" si="9">IF(AG$9=$M14,FV($U$6,$M14-1,,-$S14,0),0)</f>
        <v>0</v>
      </c>
      <c r="AH14" s="174"/>
      <c r="AI14" s="174">
        <f t="shared" ref="AI14:AI37" si="10">IF(AI$9=$M14,FV($U$6,$M14-1,,-$S14,0),0)</f>
        <v>0</v>
      </c>
      <c r="AJ14" s="174"/>
      <c r="AK14" s="174">
        <f t="shared" ref="AK14:AK37" si="11">IF(AK$9=$M14,FV($U$6,$M14-1,,-$S14,0),0)</f>
        <v>0</v>
      </c>
      <c r="AL14" s="174"/>
      <c r="AM14" s="174">
        <f t="shared" ref="AM14:AM37" si="12">IF(AM$9=$M14,FV($U$6,$M14-1,,-$S14,0),0)</f>
        <v>0</v>
      </c>
      <c r="AN14" s="174"/>
      <c r="AO14" s="174">
        <f t="shared" ref="AO14:AO37" si="13">IF(AO$9=$M14,FV($U$6,$M14-1,,-$S14,0),0)</f>
        <v>0</v>
      </c>
      <c r="AP14" s="174"/>
      <c r="AQ14" s="174">
        <f t="shared" ref="AQ14:AQ37" si="14">IF(AQ$9=$M14,FV($U$6,$M14-1,,-$S14,0),0)</f>
        <v>0</v>
      </c>
      <c r="AR14" s="174"/>
      <c r="AS14" s="174">
        <f t="shared" ref="AS14:AS37" si="15">IF(AS$9=$M14,FV($U$6,$M14-1,,-$S14,0),0)</f>
        <v>0</v>
      </c>
      <c r="AT14" s="174"/>
      <c r="AU14" s="174">
        <f t="shared" ref="AU14:AU21" si="16">IF(AU$9=$M14,FV($U$6,$M14-1,,-$S14,0),0)</f>
        <v>0</v>
      </c>
      <c r="AV14" s="174"/>
      <c r="AW14" s="174">
        <f t="shared" ref="AW14:AW21" si="17">IF(AW$9=$M14,FV($U$6,$M14-1,,-$S14,0),0)</f>
        <v>0</v>
      </c>
      <c r="AX14" s="174"/>
      <c r="AY14" s="174">
        <f t="shared" ref="AY14:AY21" si="18">IF(AY$9=$M14,FV($U$6,$M14-1,,-$S14,0),0)</f>
        <v>0</v>
      </c>
      <c r="BJ14" s="221"/>
      <c r="BK14" s="221"/>
      <c r="BL14" s="221"/>
      <c r="BM14" s="221"/>
      <c r="BN14" s="221"/>
      <c r="BO14" s="221"/>
      <c r="BP14" s="221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167"/>
      <c r="CC14" s="167"/>
      <c r="CD14" s="167"/>
      <c r="CE14" s="167"/>
    </row>
    <row r="15" spans="1:83" x14ac:dyDescent="0.35">
      <c r="A15" s="168">
        <f>A14+1</f>
        <v>2</v>
      </c>
      <c r="B15" s="169"/>
      <c r="C15" s="174">
        <v>1</v>
      </c>
      <c r="D15" s="171"/>
      <c r="E15" s="168" t="s">
        <v>45</v>
      </c>
      <c r="F15" s="169"/>
      <c r="G15" s="169" t="s">
        <v>45</v>
      </c>
      <c r="H15" s="169"/>
      <c r="I15" s="168" t="s">
        <v>45</v>
      </c>
      <c r="J15" s="169"/>
      <c r="K15" s="225" t="s">
        <v>45</v>
      </c>
      <c r="L15" s="169"/>
      <c r="M15" s="168">
        <v>1</v>
      </c>
      <c r="N15" s="237">
        <f t="shared" ref="N15:N37" si="19">N14</f>
        <v>2023</v>
      </c>
      <c r="O15" s="241">
        <f t="shared" si="1"/>
        <v>2024</v>
      </c>
      <c r="P15" s="169"/>
      <c r="Q15" s="172">
        <v>1</v>
      </c>
      <c r="R15" s="173"/>
      <c r="S15" s="174">
        <f t="shared" si="2"/>
        <v>1</v>
      </c>
      <c r="T15" s="174"/>
      <c r="U15" s="175">
        <f t="shared" si="3"/>
        <v>1</v>
      </c>
      <c r="V15" s="171"/>
      <c r="W15" s="174">
        <f t="shared" si="4"/>
        <v>1</v>
      </c>
      <c r="X15" s="174"/>
      <c r="Y15" s="174">
        <f t="shared" si="5"/>
        <v>0</v>
      </c>
      <c r="Z15" s="174"/>
      <c r="AA15" s="174">
        <f t="shared" si="6"/>
        <v>0</v>
      </c>
      <c r="AB15" s="174"/>
      <c r="AC15" s="174">
        <f t="shared" si="7"/>
        <v>0</v>
      </c>
      <c r="AD15" s="174"/>
      <c r="AE15" s="174">
        <f t="shared" si="8"/>
        <v>0</v>
      </c>
      <c r="AF15" s="174"/>
      <c r="AG15" s="174">
        <f t="shared" si="9"/>
        <v>0</v>
      </c>
      <c r="AH15" s="174"/>
      <c r="AI15" s="174">
        <f t="shared" si="10"/>
        <v>0</v>
      </c>
      <c r="AJ15" s="174"/>
      <c r="AK15" s="174">
        <f t="shared" si="11"/>
        <v>0</v>
      </c>
      <c r="AL15" s="174"/>
      <c r="AM15" s="174">
        <f t="shared" si="12"/>
        <v>0</v>
      </c>
      <c r="AN15" s="174"/>
      <c r="AO15" s="174">
        <f t="shared" si="13"/>
        <v>0</v>
      </c>
      <c r="AP15" s="174"/>
      <c r="AQ15" s="174">
        <f t="shared" si="14"/>
        <v>0</v>
      </c>
      <c r="AR15" s="174"/>
      <c r="AS15" s="174">
        <f t="shared" si="15"/>
        <v>0</v>
      </c>
      <c r="AT15" s="174"/>
      <c r="AU15" s="174">
        <f t="shared" si="16"/>
        <v>0</v>
      </c>
      <c r="AV15" s="174"/>
      <c r="AW15" s="174">
        <f t="shared" si="17"/>
        <v>0</v>
      </c>
      <c r="AX15" s="174"/>
      <c r="AY15" s="174">
        <f t="shared" si="18"/>
        <v>0</v>
      </c>
      <c r="BJ15" s="221"/>
      <c r="BK15" s="221"/>
      <c r="BL15" s="221"/>
      <c r="BM15" s="221"/>
      <c r="BN15" s="221"/>
      <c r="BO15" s="221"/>
      <c r="BP15" s="221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167"/>
      <c r="CC15" s="167"/>
      <c r="CD15" s="167"/>
      <c r="CE15" s="167"/>
    </row>
    <row r="16" spans="1:83" x14ac:dyDescent="0.35">
      <c r="A16" s="168">
        <f t="shared" ref="A16:A54" si="20">A15+1</f>
        <v>3</v>
      </c>
      <c r="B16" s="169"/>
      <c r="C16" s="174">
        <v>1</v>
      </c>
      <c r="D16" s="171"/>
      <c r="E16" s="168" t="s">
        <v>45</v>
      </c>
      <c r="F16" s="169"/>
      <c r="G16" s="169" t="s">
        <v>45</v>
      </c>
      <c r="H16" s="169"/>
      <c r="I16" s="168" t="s">
        <v>45</v>
      </c>
      <c r="J16" s="169"/>
      <c r="K16" s="225" t="s">
        <v>45</v>
      </c>
      <c r="L16" s="169"/>
      <c r="M16" s="168">
        <v>1</v>
      </c>
      <c r="N16" s="237">
        <f t="shared" si="19"/>
        <v>2023</v>
      </c>
      <c r="O16" s="241">
        <f t="shared" si="1"/>
        <v>2024</v>
      </c>
      <c r="P16" s="169"/>
      <c r="Q16" s="172">
        <v>1</v>
      </c>
      <c r="R16" s="173"/>
      <c r="S16" s="174">
        <f t="shared" si="2"/>
        <v>1</v>
      </c>
      <c r="T16" s="174"/>
      <c r="U16" s="175">
        <f t="shared" si="3"/>
        <v>1</v>
      </c>
      <c r="V16" s="171"/>
      <c r="W16" s="174">
        <f t="shared" si="4"/>
        <v>1</v>
      </c>
      <c r="X16" s="174"/>
      <c r="Y16" s="174">
        <f t="shared" si="5"/>
        <v>0</v>
      </c>
      <c r="Z16" s="174"/>
      <c r="AA16" s="174">
        <f t="shared" si="6"/>
        <v>0</v>
      </c>
      <c r="AB16" s="174"/>
      <c r="AC16" s="174">
        <f t="shared" si="7"/>
        <v>0</v>
      </c>
      <c r="AD16" s="174"/>
      <c r="AE16" s="174">
        <f t="shared" si="8"/>
        <v>0</v>
      </c>
      <c r="AF16" s="174"/>
      <c r="AG16" s="174">
        <f t="shared" si="9"/>
        <v>0</v>
      </c>
      <c r="AH16" s="174"/>
      <c r="AI16" s="174">
        <f t="shared" si="10"/>
        <v>0</v>
      </c>
      <c r="AJ16" s="174"/>
      <c r="AK16" s="174">
        <f t="shared" si="11"/>
        <v>0</v>
      </c>
      <c r="AL16" s="174"/>
      <c r="AM16" s="174">
        <f t="shared" si="12"/>
        <v>0</v>
      </c>
      <c r="AN16" s="174"/>
      <c r="AO16" s="174">
        <f t="shared" si="13"/>
        <v>0</v>
      </c>
      <c r="AP16" s="174"/>
      <c r="AQ16" s="174">
        <f t="shared" si="14"/>
        <v>0</v>
      </c>
      <c r="AR16" s="174"/>
      <c r="AS16" s="174">
        <f t="shared" si="15"/>
        <v>0</v>
      </c>
      <c r="AT16" s="174"/>
      <c r="AU16" s="174">
        <f t="shared" si="16"/>
        <v>0</v>
      </c>
      <c r="AV16" s="174"/>
      <c r="AW16" s="174">
        <f t="shared" si="17"/>
        <v>0</v>
      </c>
      <c r="AX16" s="174"/>
      <c r="AY16" s="174">
        <f t="shared" si="18"/>
        <v>0</v>
      </c>
      <c r="BJ16" s="221"/>
      <c r="BK16" s="221"/>
      <c r="BL16" s="221"/>
      <c r="BM16" s="221"/>
      <c r="BN16" s="221"/>
      <c r="BO16" s="221"/>
      <c r="BP16" s="221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167"/>
      <c r="CC16" s="167"/>
      <c r="CD16" s="167"/>
      <c r="CE16" s="167"/>
    </row>
    <row r="17" spans="1:83" x14ac:dyDescent="0.35">
      <c r="A17" s="180">
        <f t="shared" si="20"/>
        <v>4</v>
      </c>
      <c r="C17" s="178">
        <v>1</v>
      </c>
      <c r="E17" s="135" t="s">
        <v>45</v>
      </c>
      <c r="G17" s="136" t="s">
        <v>45</v>
      </c>
      <c r="I17" s="135" t="s">
        <v>45</v>
      </c>
      <c r="K17" s="143" t="s">
        <v>45</v>
      </c>
      <c r="M17" s="135">
        <v>1</v>
      </c>
      <c r="N17" s="238">
        <f t="shared" si="19"/>
        <v>2023</v>
      </c>
      <c r="O17" s="242">
        <f t="shared" si="1"/>
        <v>2024</v>
      </c>
      <c r="Q17" s="176">
        <v>1</v>
      </c>
      <c r="R17" s="177"/>
      <c r="S17" s="178">
        <f t="shared" si="2"/>
        <v>1</v>
      </c>
      <c r="T17" s="178"/>
      <c r="U17" s="179">
        <f t="shared" si="3"/>
        <v>1</v>
      </c>
      <c r="V17" s="138"/>
      <c r="W17" s="185">
        <f t="shared" si="4"/>
        <v>1</v>
      </c>
      <c r="X17" s="185"/>
      <c r="Y17" s="185">
        <f t="shared" si="5"/>
        <v>0</v>
      </c>
      <c r="Z17" s="185"/>
      <c r="AA17" s="185">
        <f t="shared" si="6"/>
        <v>0</v>
      </c>
      <c r="AB17" s="185"/>
      <c r="AC17" s="185">
        <f t="shared" si="7"/>
        <v>0</v>
      </c>
      <c r="AD17" s="185"/>
      <c r="AE17" s="185">
        <f t="shared" si="8"/>
        <v>0</v>
      </c>
      <c r="AF17" s="185"/>
      <c r="AG17" s="185">
        <f t="shared" si="9"/>
        <v>0</v>
      </c>
      <c r="AH17" s="185"/>
      <c r="AI17" s="185">
        <f t="shared" si="10"/>
        <v>0</v>
      </c>
      <c r="AJ17" s="185"/>
      <c r="AK17" s="185">
        <f t="shared" si="11"/>
        <v>0</v>
      </c>
      <c r="AL17" s="185"/>
      <c r="AM17" s="185">
        <f t="shared" si="12"/>
        <v>0</v>
      </c>
      <c r="AN17" s="185"/>
      <c r="AO17" s="185">
        <f t="shared" si="13"/>
        <v>0</v>
      </c>
      <c r="AP17" s="185"/>
      <c r="AQ17" s="185">
        <f t="shared" si="14"/>
        <v>0</v>
      </c>
      <c r="AR17" s="185"/>
      <c r="AS17" s="185">
        <f t="shared" si="15"/>
        <v>0</v>
      </c>
      <c r="AT17" s="185"/>
      <c r="AU17" s="185">
        <f t="shared" si="16"/>
        <v>0</v>
      </c>
      <c r="AV17" s="185"/>
      <c r="AW17" s="185">
        <f t="shared" si="17"/>
        <v>0</v>
      </c>
      <c r="AX17" s="185"/>
      <c r="AY17" s="185">
        <f t="shared" si="18"/>
        <v>0</v>
      </c>
      <c r="BJ17" s="221"/>
      <c r="BK17" s="221"/>
      <c r="BL17" s="221"/>
      <c r="BM17" s="221"/>
      <c r="BN17" s="221"/>
      <c r="BO17" s="221"/>
      <c r="BP17" s="221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167"/>
      <c r="CC17" s="167"/>
      <c r="CD17" s="167"/>
      <c r="CE17" s="167"/>
    </row>
    <row r="18" spans="1:83" x14ac:dyDescent="0.35">
      <c r="A18" s="180">
        <f t="shared" si="20"/>
        <v>5</v>
      </c>
      <c r="C18" s="178">
        <v>1</v>
      </c>
      <c r="E18" s="135" t="s">
        <v>45</v>
      </c>
      <c r="G18" s="136" t="s">
        <v>45</v>
      </c>
      <c r="I18" s="135" t="s">
        <v>45</v>
      </c>
      <c r="K18" s="143" t="s">
        <v>45</v>
      </c>
      <c r="M18" s="135">
        <v>1</v>
      </c>
      <c r="N18" s="238">
        <f t="shared" si="19"/>
        <v>2023</v>
      </c>
      <c r="O18" s="242">
        <f t="shared" si="1"/>
        <v>2024</v>
      </c>
      <c r="Q18" s="176">
        <v>1</v>
      </c>
      <c r="R18" s="177"/>
      <c r="S18" s="178">
        <f t="shared" si="2"/>
        <v>1</v>
      </c>
      <c r="T18" s="178"/>
      <c r="U18" s="179">
        <f t="shared" si="3"/>
        <v>1</v>
      </c>
      <c r="V18" s="138"/>
      <c r="W18" s="185">
        <f t="shared" si="4"/>
        <v>1</v>
      </c>
      <c r="X18" s="185"/>
      <c r="Y18" s="185">
        <f t="shared" si="5"/>
        <v>0</v>
      </c>
      <c r="Z18" s="185"/>
      <c r="AA18" s="185">
        <f t="shared" si="6"/>
        <v>0</v>
      </c>
      <c r="AB18" s="185"/>
      <c r="AC18" s="185">
        <f t="shared" si="7"/>
        <v>0</v>
      </c>
      <c r="AD18" s="185"/>
      <c r="AE18" s="185">
        <f t="shared" si="8"/>
        <v>0</v>
      </c>
      <c r="AF18" s="185"/>
      <c r="AG18" s="185">
        <f t="shared" si="9"/>
        <v>0</v>
      </c>
      <c r="AH18" s="185"/>
      <c r="AI18" s="185">
        <f t="shared" si="10"/>
        <v>0</v>
      </c>
      <c r="AJ18" s="185"/>
      <c r="AK18" s="185">
        <f t="shared" si="11"/>
        <v>0</v>
      </c>
      <c r="AL18" s="185"/>
      <c r="AM18" s="185">
        <f t="shared" si="12"/>
        <v>0</v>
      </c>
      <c r="AN18" s="185"/>
      <c r="AO18" s="185">
        <f t="shared" si="13"/>
        <v>0</v>
      </c>
      <c r="AP18" s="185"/>
      <c r="AQ18" s="185">
        <f t="shared" si="14"/>
        <v>0</v>
      </c>
      <c r="AR18" s="185"/>
      <c r="AS18" s="185">
        <f t="shared" si="15"/>
        <v>0</v>
      </c>
      <c r="AT18" s="185"/>
      <c r="AU18" s="185">
        <f t="shared" si="16"/>
        <v>0</v>
      </c>
      <c r="AV18" s="185"/>
      <c r="AW18" s="185">
        <f t="shared" si="17"/>
        <v>0</v>
      </c>
      <c r="AX18" s="185"/>
      <c r="AY18" s="185">
        <f t="shared" si="18"/>
        <v>0</v>
      </c>
      <c r="BJ18" s="221"/>
      <c r="BK18" s="221"/>
      <c r="BL18" s="221"/>
      <c r="BM18" s="221"/>
      <c r="BN18" s="221"/>
      <c r="BO18" s="221"/>
      <c r="BP18" s="221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167"/>
      <c r="CC18" s="167"/>
      <c r="CD18" s="167"/>
      <c r="CE18" s="167"/>
    </row>
    <row r="19" spans="1:83" x14ac:dyDescent="0.35">
      <c r="A19" s="180">
        <f t="shared" si="20"/>
        <v>6</v>
      </c>
      <c r="C19" s="178">
        <v>1</v>
      </c>
      <c r="E19" s="135" t="s">
        <v>45</v>
      </c>
      <c r="G19" s="136" t="s">
        <v>45</v>
      </c>
      <c r="I19" s="135" t="s">
        <v>45</v>
      </c>
      <c r="K19" s="143" t="s">
        <v>45</v>
      </c>
      <c r="M19" s="135">
        <v>1</v>
      </c>
      <c r="N19" s="238">
        <f t="shared" si="19"/>
        <v>2023</v>
      </c>
      <c r="O19" s="242">
        <f t="shared" si="1"/>
        <v>2024</v>
      </c>
      <c r="Q19" s="176">
        <v>1</v>
      </c>
      <c r="R19" s="177"/>
      <c r="S19" s="178">
        <f t="shared" si="2"/>
        <v>1</v>
      </c>
      <c r="T19" s="178"/>
      <c r="U19" s="179">
        <f t="shared" si="3"/>
        <v>1</v>
      </c>
      <c r="V19" s="138"/>
      <c r="W19" s="185">
        <f t="shared" si="4"/>
        <v>1</v>
      </c>
      <c r="X19" s="185"/>
      <c r="Y19" s="185">
        <f t="shared" si="5"/>
        <v>0</v>
      </c>
      <c r="Z19" s="185"/>
      <c r="AA19" s="185">
        <f t="shared" si="6"/>
        <v>0</v>
      </c>
      <c r="AB19" s="185"/>
      <c r="AC19" s="185">
        <f t="shared" si="7"/>
        <v>0</v>
      </c>
      <c r="AD19" s="185"/>
      <c r="AE19" s="185">
        <f t="shared" si="8"/>
        <v>0</v>
      </c>
      <c r="AF19" s="185"/>
      <c r="AG19" s="185">
        <f t="shared" si="9"/>
        <v>0</v>
      </c>
      <c r="AH19" s="185"/>
      <c r="AI19" s="185">
        <f t="shared" si="10"/>
        <v>0</v>
      </c>
      <c r="AJ19" s="185"/>
      <c r="AK19" s="185">
        <f t="shared" si="11"/>
        <v>0</v>
      </c>
      <c r="AL19" s="185"/>
      <c r="AM19" s="185">
        <f t="shared" si="12"/>
        <v>0</v>
      </c>
      <c r="AN19" s="185"/>
      <c r="AO19" s="185">
        <f t="shared" si="13"/>
        <v>0</v>
      </c>
      <c r="AP19" s="185"/>
      <c r="AQ19" s="185">
        <f t="shared" si="14"/>
        <v>0</v>
      </c>
      <c r="AR19" s="185"/>
      <c r="AS19" s="185">
        <f t="shared" si="15"/>
        <v>0</v>
      </c>
      <c r="AT19" s="185"/>
      <c r="AU19" s="185">
        <f t="shared" si="16"/>
        <v>0</v>
      </c>
      <c r="AV19" s="185"/>
      <c r="AW19" s="185">
        <f t="shared" si="17"/>
        <v>0</v>
      </c>
      <c r="AX19" s="185"/>
      <c r="AY19" s="185">
        <f t="shared" si="18"/>
        <v>0</v>
      </c>
      <c r="BJ19" s="221"/>
      <c r="BK19" s="221"/>
      <c r="BL19" s="221"/>
      <c r="BM19" s="221"/>
      <c r="BN19" s="221"/>
      <c r="BO19" s="221"/>
      <c r="BP19" s="221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167"/>
      <c r="CC19" s="167"/>
      <c r="CD19" s="167"/>
      <c r="CE19" s="167"/>
    </row>
    <row r="20" spans="1:83" s="151" customFormat="1" x14ac:dyDescent="0.35">
      <c r="A20" s="168">
        <f t="shared" si="20"/>
        <v>7</v>
      </c>
      <c r="B20" s="169"/>
      <c r="C20" s="174">
        <v>1</v>
      </c>
      <c r="D20" s="171"/>
      <c r="E20" s="168" t="s">
        <v>45</v>
      </c>
      <c r="F20" s="169"/>
      <c r="G20" s="169" t="s">
        <v>45</v>
      </c>
      <c r="H20" s="169"/>
      <c r="I20" s="168" t="s">
        <v>45</v>
      </c>
      <c r="J20" s="169"/>
      <c r="K20" s="225" t="s">
        <v>45</v>
      </c>
      <c r="L20" s="169"/>
      <c r="M20" s="168">
        <v>1</v>
      </c>
      <c r="N20" s="237">
        <f t="shared" si="19"/>
        <v>2023</v>
      </c>
      <c r="O20" s="241">
        <f t="shared" si="1"/>
        <v>2024</v>
      </c>
      <c r="P20" s="169"/>
      <c r="Q20" s="172">
        <v>1</v>
      </c>
      <c r="R20" s="173"/>
      <c r="S20" s="174">
        <f t="shared" si="2"/>
        <v>1</v>
      </c>
      <c r="T20" s="174"/>
      <c r="U20" s="175">
        <f t="shared" si="3"/>
        <v>1</v>
      </c>
      <c r="V20" s="171"/>
      <c r="W20" s="174">
        <f t="shared" si="4"/>
        <v>1</v>
      </c>
      <c r="X20" s="174"/>
      <c r="Y20" s="174">
        <f t="shared" si="5"/>
        <v>0</v>
      </c>
      <c r="Z20" s="174"/>
      <c r="AA20" s="174">
        <f t="shared" si="6"/>
        <v>0</v>
      </c>
      <c r="AB20" s="174"/>
      <c r="AC20" s="174">
        <f t="shared" si="7"/>
        <v>0</v>
      </c>
      <c r="AD20" s="174"/>
      <c r="AE20" s="174">
        <f t="shared" si="8"/>
        <v>0</v>
      </c>
      <c r="AF20" s="174"/>
      <c r="AG20" s="174">
        <f t="shared" si="9"/>
        <v>0</v>
      </c>
      <c r="AH20" s="174"/>
      <c r="AI20" s="174">
        <f t="shared" si="10"/>
        <v>0</v>
      </c>
      <c r="AJ20" s="174"/>
      <c r="AK20" s="174">
        <f t="shared" si="11"/>
        <v>0</v>
      </c>
      <c r="AL20" s="174"/>
      <c r="AM20" s="174">
        <f t="shared" si="12"/>
        <v>0</v>
      </c>
      <c r="AN20" s="174"/>
      <c r="AO20" s="174">
        <f t="shared" si="13"/>
        <v>0</v>
      </c>
      <c r="AP20" s="174"/>
      <c r="AQ20" s="174">
        <f t="shared" si="14"/>
        <v>0</v>
      </c>
      <c r="AR20" s="174"/>
      <c r="AS20" s="174">
        <f t="shared" si="15"/>
        <v>0</v>
      </c>
      <c r="AT20" s="174"/>
      <c r="AU20" s="174">
        <f t="shared" si="16"/>
        <v>0</v>
      </c>
      <c r="AV20" s="174"/>
      <c r="AW20" s="174">
        <f t="shared" si="17"/>
        <v>0</v>
      </c>
      <c r="AX20" s="174"/>
      <c r="AY20" s="174">
        <f t="shared" si="18"/>
        <v>0</v>
      </c>
      <c r="AZ20" s="136"/>
      <c r="BA20" s="136"/>
      <c r="BJ20" s="221"/>
      <c r="BK20" s="221"/>
      <c r="BL20" s="221"/>
      <c r="BM20" s="221"/>
      <c r="BN20" s="221"/>
      <c r="BO20" s="221"/>
      <c r="BP20" s="221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2"/>
      <c r="CC20" s="202"/>
      <c r="CD20" s="202"/>
      <c r="CE20" s="202"/>
    </row>
    <row r="21" spans="1:83" s="151" customFormat="1" x14ac:dyDescent="0.35">
      <c r="A21" s="168">
        <f t="shared" si="20"/>
        <v>8</v>
      </c>
      <c r="B21" s="169"/>
      <c r="C21" s="174">
        <v>1</v>
      </c>
      <c r="D21" s="171"/>
      <c r="E21" s="168" t="s">
        <v>45</v>
      </c>
      <c r="F21" s="169"/>
      <c r="G21" s="169" t="s">
        <v>45</v>
      </c>
      <c r="H21" s="169"/>
      <c r="I21" s="168" t="s">
        <v>45</v>
      </c>
      <c r="J21" s="169"/>
      <c r="K21" s="225" t="s">
        <v>45</v>
      </c>
      <c r="L21" s="169"/>
      <c r="M21" s="168">
        <v>1</v>
      </c>
      <c r="N21" s="237">
        <f t="shared" si="19"/>
        <v>2023</v>
      </c>
      <c r="O21" s="241">
        <f t="shared" si="1"/>
        <v>2024</v>
      </c>
      <c r="P21" s="169"/>
      <c r="Q21" s="172">
        <v>1</v>
      </c>
      <c r="R21" s="173"/>
      <c r="S21" s="174">
        <f t="shared" si="2"/>
        <v>1</v>
      </c>
      <c r="T21" s="174"/>
      <c r="U21" s="175">
        <f t="shared" si="3"/>
        <v>1</v>
      </c>
      <c r="V21" s="171"/>
      <c r="W21" s="174">
        <f t="shared" si="4"/>
        <v>1</v>
      </c>
      <c r="X21" s="174"/>
      <c r="Y21" s="174">
        <f t="shared" si="5"/>
        <v>0</v>
      </c>
      <c r="Z21" s="174"/>
      <c r="AA21" s="174">
        <f t="shared" si="6"/>
        <v>0</v>
      </c>
      <c r="AB21" s="174"/>
      <c r="AC21" s="174">
        <f t="shared" si="7"/>
        <v>0</v>
      </c>
      <c r="AD21" s="174"/>
      <c r="AE21" s="174">
        <f t="shared" si="8"/>
        <v>0</v>
      </c>
      <c r="AF21" s="174"/>
      <c r="AG21" s="174">
        <f t="shared" si="9"/>
        <v>0</v>
      </c>
      <c r="AH21" s="174"/>
      <c r="AI21" s="174">
        <f t="shared" si="10"/>
        <v>0</v>
      </c>
      <c r="AJ21" s="174"/>
      <c r="AK21" s="174">
        <f t="shared" si="11"/>
        <v>0</v>
      </c>
      <c r="AL21" s="174"/>
      <c r="AM21" s="174">
        <f t="shared" si="12"/>
        <v>0</v>
      </c>
      <c r="AN21" s="174"/>
      <c r="AO21" s="174">
        <f t="shared" si="13"/>
        <v>0</v>
      </c>
      <c r="AP21" s="174"/>
      <c r="AQ21" s="174">
        <f t="shared" si="14"/>
        <v>0</v>
      </c>
      <c r="AR21" s="174"/>
      <c r="AS21" s="174">
        <f t="shared" si="15"/>
        <v>0</v>
      </c>
      <c r="AT21" s="174"/>
      <c r="AU21" s="174">
        <f t="shared" si="16"/>
        <v>0</v>
      </c>
      <c r="AV21" s="174"/>
      <c r="AW21" s="174">
        <f t="shared" si="17"/>
        <v>0</v>
      </c>
      <c r="AX21" s="174"/>
      <c r="AY21" s="174">
        <f t="shared" si="18"/>
        <v>0</v>
      </c>
      <c r="AZ21" s="136"/>
      <c r="BA21" s="136"/>
      <c r="BJ21" s="221"/>
      <c r="BK21" s="221"/>
      <c r="BL21" s="221"/>
      <c r="BM21" s="221"/>
      <c r="BN21" s="221"/>
      <c r="BO21" s="221"/>
      <c r="BP21" s="221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</row>
    <row r="22" spans="1:83" s="151" customFormat="1" x14ac:dyDescent="0.35">
      <c r="A22" s="168">
        <f t="shared" si="20"/>
        <v>9</v>
      </c>
      <c r="B22" s="169"/>
      <c r="C22" s="174">
        <v>1</v>
      </c>
      <c r="D22" s="171"/>
      <c r="E22" s="168" t="s">
        <v>45</v>
      </c>
      <c r="F22" s="169"/>
      <c r="G22" s="169" t="s">
        <v>45</v>
      </c>
      <c r="H22" s="169"/>
      <c r="I22" s="168" t="s">
        <v>45</v>
      </c>
      <c r="J22" s="169"/>
      <c r="K22" s="225" t="s">
        <v>45</v>
      </c>
      <c r="L22" s="169"/>
      <c r="M22" s="168">
        <v>1</v>
      </c>
      <c r="N22" s="237">
        <f t="shared" si="19"/>
        <v>2023</v>
      </c>
      <c r="O22" s="241">
        <f t="shared" si="1"/>
        <v>2024</v>
      </c>
      <c r="P22" s="169"/>
      <c r="Q22" s="172">
        <v>1</v>
      </c>
      <c r="R22" s="173"/>
      <c r="S22" s="174">
        <f t="shared" si="2"/>
        <v>1</v>
      </c>
      <c r="T22" s="174"/>
      <c r="U22" s="175">
        <f t="shared" si="3"/>
        <v>1</v>
      </c>
      <c r="V22" s="171"/>
      <c r="W22" s="174">
        <f t="shared" si="4"/>
        <v>1</v>
      </c>
      <c r="X22" s="174"/>
      <c r="Y22" s="174">
        <f t="shared" si="5"/>
        <v>0</v>
      </c>
      <c r="Z22" s="174"/>
      <c r="AA22" s="174">
        <f t="shared" si="6"/>
        <v>0</v>
      </c>
      <c r="AB22" s="174"/>
      <c r="AC22" s="174">
        <f t="shared" si="7"/>
        <v>0</v>
      </c>
      <c r="AD22" s="174"/>
      <c r="AE22" s="174">
        <f t="shared" si="8"/>
        <v>0</v>
      </c>
      <c r="AF22" s="174"/>
      <c r="AG22" s="174">
        <f t="shared" si="9"/>
        <v>0</v>
      </c>
      <c r="AH22" s="174"/>
      <c r="AI22" s="174">
        <f t="shared" si="10"/>
        <v>0</v>
      </c>
      <c r="AJ22" s="174"/>
      <c r="AK22" s="174">
        <f t="shared" si="11"/>
        <v>0</v>
      </c>
      <c r="AL22" s="174"/>
      <c r="AM22" s="174">
        <f t="shared" si="12"/>
        <v>0</v>
      </c>
      <c r="AN22" s="174"/>
      <c r="AO22" s="174">
        <f t="shared" si="13"/>
        <v>0</v>
      </c>
      <c r="AP22" s="174"/>
      <c r="AQ22" s="174">
        <f t="shared" si="14"/>
        <v>0</v>
      </c>
      <c r="AR22" s="174"/>
      <c r="AS22" s="174">
        <f t="shared" si="15"/>
        <v>0</v>
      </c>
      <c r="AT22" s="174"/>
      <c r="AU22" s="174">
        <f t="shared" ref="AU22:AY37" si="21">IF(AU$9=$M22,FV($U$6,$M22-1,,-$S22,0),0)</f>
        <v>0</v>
      </c>
      <c r="AV22" s="174"/>
      <c r="AW22" s="174">
        <f t="shared" si="21"/>
        <v>0</v>
      </c>
      <c r="AX22" s="174"/>
      <c r="AY22" s="174">
        <f t="shared" si="21"/>
        <v>0</v>
      </c>
      <c r="AZ22" s="136"/>
      <c r="BA22" s="136"/>
      <c r="BJ22" s="221"/>
      <c r="BK22" s="221"/>
      <c r="BL22" s="221"/>
      <c r="BM22" s="221"/>
      <c r="BN22" s="221"/>
      <c r="BO22" s="221"/>
      <c r="BP22" s="221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</row>
    <row r="23" spans="1:83" s="151" customFormat="1" x14ac:dyDescent="0.35">
      <c r="A23" s="180">
        <f t="shared" si="20"/>
        <v>10</v>
      </c>
      <c r="B23" s="136"/>
      <c r="C23" s="178">
        <v>1</v>
      </c>
      <c r="D23" s="138"/>
      <c r="E23" s="135" t="s">
        <v>45</v>
      </c>
      <c r="F23" s="136"/>
      <c r="G23" s="136" t="s">
        <v>45</v>
      </c>
      <c r="H23" s="136"/>
      <c r="I23" s="135" t="s">
        <v>45</v>
      </c>
      <c r="J23" s="136"/>
      <c r="K23" s="143" t="s">
        <v>45</v>
      </c>
      <c r="L23" s="136"/>
      <c r="M23" s="135">
        <v>1</v>
      </c>
      <c r="N23" s="238">
        <f t="shared" si="19"/>
        <v>2023</v>
      </c>
      <c r="O23" s="242">
        <f t="shared" ref="O23:O35" si="22">+$W$10-1+M23</f>
        <v>2024</v>
      </c>
      <c r="P23" s="136"/>
      <c r="Q23" s="176">
        <v>1</v>
      </c>
      <c r="R23" s="177"/>
      <c r="S23" s="178">
        <f t="shared" ref="S23:S37" si="23">C23*Q23</f>
        <v>1</v>
      </c>
      <c r="T23" s="178"/>
      <c r="U23" s="186">
        <f t="shared" ref="U23:U37" si="24">SUM(W23:AY23)+SUM(I73:AK73)</f>
        <v>1</v>
      </c>
      <c r="V23" s="183"/>
      <c r="W23" s="185">
        <f t="shared" si="4"/>
        <v>1</v>
      </c>
      <c r="X23" s="185"/>
      <c r="Y23" s="185">
        <f t="shared" si="5"/>
        <v>0</v>
      </c>
      <c r="Z23" s="185"/>
      <c r="AA23" s="185">
        <f t="shared" si="6"/>
        <v>0</v>
      </c>
      <c r="AB23" s="185"/>
      <c r="AC23" s="185">
        <f t="shared" si="7"/>
        <v>0</v>
      </c>
      <c r="AD23" s="185"/>
      <c r="AE23" s="185">
        <f t="shared" si="8"/>
        <v>0</v>
      </c>
      <c r="AF23" s="185"/>
      <c r="AG23" s="185">
        <f t="shared" si="9"/>
        <v>0</v>
      </c>
      <c r="AH23" s="185"/>
      <c r="AI23" s="185">
        <f t="shared" si="10"/>
        <v>0</v>
      </c>
      <c r="AJ23" s="185"/>
      <c r="AK23" s="185">
        <f t="shared" si="11"/>
        <v>0</v>
      </c>
      <c r="AL23" s="185"/>
      <c r="AM23" s="185">
        <f t="shared" si="12"/>
        <v>0</v>
      </c>
      <c r="AN23" s="185"/>
      <c r="AO23" s="185">
        <f t="shared" si="13"/>
        <v>0</v>
      </c>
      <c r="AP23" s="185"/>
      <c r="AQ23" s="185">
        <f t="shared" si="14"/>
        <v>0</v>
      </c>
      <c r="AR23" s="185"/>
      <c r="AS23" s="185">
        <f t="shared" si="15"/>
        <v>0</v>
      </c>
      <c r="AT23" s="185"/>
      <c r="AU23" s="185">
        <f t="shared" si="21"/>
        <v>0</v>
      </c>
      <c r="AV23" s="185"/>
      <c r="AW23" s="185">
        <f t="shared" si="21"/>
        <v>0</v>
      </c>
      <c r="AX23" s="185"/>
      <c r="AY23" s="185">
        <f t="shared" si="21"/>
        <v>0</v>
      </c>
      <c r="AZ23" s="136"/>
      <c r="BA23" s="136"/>
      <c r="BJ23" s="221"/>
      <c r="BK23" s="221"/>
      <c r="BL23" s="221"/>
      <c r="BM23" s="221"/>
      <c r="BN23" s="221"/>
      <c r="BO23" s="221"/>
      <c r="BP23" s="221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</row>
    <row r="24" spans="1:83" s="151" customFormat="1" x14ac:dyDescent="0.35">
      <c r="A24" s="180">
        <f t="shared" si="20"/>
        <v>11</v>
      </c>
      <c r="B24" s="136"/>
      <c r="C24" s="178">
        <v>1</v>
      </c>
      <c r="D24" s="138"/>
      <c r="E24" s="135" t="s">
        <v>45</v>
      </c>
      <c r="F24" s="136"/>
      <c r="G24" s="136" t="s">
        <v>45</v>
      </c>
      <c r="H24" s="136"/>
      <c r="I24" s="135" t="s">
        <v>45</v>
      </c>
      <c r="J24" s="136"/>
      <c r="K24" s="143" t="s">
        <v>45</v>
      </c>
      <c r="L24" s="136"/>
      <c r="M24" s="135">
        <v>1</v>
      </c>
      <c r="N24" s="238">
        <f t="shared" si="19"/>
        <v>2023</v>
      </c>
      <c r="O24" s="242">
        <f t="shared" si="22"/>
        <v>2024</v>
      </c>
      <c r="P24" s="136"/>
      <c r="Q24" s="176">
        <v>1</v>
      </c>
      <c r="R24" s="177"/>
      <c r="S24" s="178">
        <f t="shared" si="23"/>
        <v>1</v>
      </c>
      <c r="T24" s="178"/>
      <c r="U24" s="186">
        <f t="shared" si="24"/>
        <v>1</v>
      </c>
      <c r="V24" s="183"/>
      <c r="W24" s="185">
        <f t="shared" si="4"/>
        <v>1</v>
      </c>
      <c r="X24" s="185"/>
      <c r="Y24" s="185">
        <f t="shared" si="5"/>
        <v>0</v>
      </c>
      <c r="Z24" s="185"/>
      <c r="AA24" s="185">
        <f t="shared" si="6"/>
        <v>0</v>
      </c>
      <c r="AB24" s="185"/>
      <c r="AC24" s="185">
        <f t="shared" si="7"/>
        <v>0</v>
      </c>
      <c r="AD24" s="185"/>
      <c r="AE24" s="185">
        <f t="shared" si="8"/>
        <v>0</v>
      </c>
      <c r="AF24" s="185"/>
      <c r="AG24" s="185">
        <f t="shared" si="9"/>
        <v>0</v>
      </c>
      <c r="AH24" s="185"/>
      <c r="AI24" s="185">
        <f t="shared" si="10"/>
        <v>0</v>
      </c>
      <c r="AJ24" s="185"/>
      <c r="AK24" s="185">
        <f t="shared" si="11"/>
        <v>0</v>
      </c>
      <c r="AL24" s="185"/>
      <c r="AM24" s="185">
        <f t="shared" si="12"/>
        <v>0</v>
      </c>
      <c r="AN24" s="185"/>
      <c r="AO24" s="185">
        <f t="shared" si="13"/>
        <v>0</v>
      </c>
      <c r="AP24" s="185"/>
      <c r="AQ24" s="185">
        <f t="shared" si="14"/>
        <v>0</v>
      </c>
      <c r="AR24" s="185"/>
      <c r="AS24" s="185">
        <f t="shared" si="15"/>
        <v>0</v>
      </c>
      <c r="AT24" s="185"/>
      <c r="AU24" s="185">
        <f t="shared" si="21"/>
        <v>0</v>
      </c>
      <c r="AV24" s="185"/>
      <c r="AW24" s="185">
        <f t="shared" si="21"/>
        <v>0</v>
      </c>
      <c r="AX24" s="185"/>
      <c r="AY24" s="185">
        <f t="shared" si="21"/>
        <v>0</v>
      </c>
      <c r="AZ24" s="136"/>
      <c r="BA24" s="136"/>
      <c r="BJ24" s="221"/>
      <c r="BK24" s="221"/>
      <c r="BL24" s="221"/>
      <c r="BM24" s="221"/>
      <c r="BN24" s="221"/>
      <c r="BO24" s="221"/>
      <c r="BP24" s="221"/>
      <c r="BQ24" s="202"/>
      <c r="BR24" s="202"/>
      <c r="BS24" s="202"/>
      <c r="BT24" s="202"/>
      <c r="BU24" s="202"/>
      <c r="BV24" s="202"/>
      <c r="BW24" s="202"/>
      <c r="BX24" s="202"/>
      <c r="BY24" s="202"/>
      <c r="BZ24" s="202"/>
      <c r="CA24" s="202"/>
      <c r="CB24" s="202"/>
      <c r="CC24" s="202"/>
      <c r="CD24" s="202"/>
      <c r="CE24" s="202"/>
    </row>
    <row r="25" spans="1:83" s="151" customFormat="1" x14ac:dyDescent="0.35">
      <c r="A25" s="180">
        <f t="shared" si="20"/>
        <v>12</v>
      </c>
      <c r="B25" s="136"/>
      <c r="C25" s="178">
        <v>1</v>
      </c>
      <c r="D25" s="138"/>
      <c r="E25" s="135" t="s">
        <v>45</v>
      </c>
      <c r="F25" s="136"/>
      <c r="G25" s="136" t="s">
        <v>45</v>
      </c>
      <c r="H25" s="136"/>
      <c r="I25" s="135" t="s">
        <v>45</v>
      </c>
      <c r="J25" s="136"/>
      <c r="K25" s="143" t="s">
        <v>45</v>
      </c>
      <c r="L25" s="136"/>
      <c r="M25" s="135">
        <v>1</v>
      </c>
      <c r="N25" s="238">
        <f t="shared" si="19"/>
        <v>2023</v>
      </c>
      <c r="O25" s="242">
        <f t="shared" si="22"/>
        <v>2024</v>
      </c>
      <c r="P25" s="136"/>
      <c r="Q25" s="176">
        <v>1</v>
      </c>
      <c r="R25" s="177"/>
      <c r="S25" s="178">
        <f t="shared" si="23"/>
        <v>1</v>
      </c>
      <c r="T25" s="178"/>
      <c r="U25" s="186">
        <f t="shared" si="24"/>
        <v>1</v>
      </c>
      <c r="V25" s="183"/>
      <c r="W25" s="185">
        <f t="shared" si="4"/>
        <v>1</v>
      </c>
      <c r="X25" s="185"/>
      <c r="Y25" s="185">
        <f t="shared" si="5"/>
        <v>0</v>
      </c>
      <c r="Z25" s="185"/>
      <c r="AA25" s="185">
        <f t="shared" si="6"/>
        <v>0</v>
      </c>
      <c r="AB25" s="185"/>
      <c r="AC25" s="185">
        <f t="shared" si="7"/>
        <v>0</v>
      </c>
      <c r="AD25" s="185"/>
      <c r="AE25" s="185">
        <f t="shared" si="8"/>
        <v>0</v>
      </c>
      <c r="AF25" s="185"/>
      <c r="AG25" s="185">
        <f t="shared" si="9"/>
        <v>0</v>
      </c>
      <c r="AH25" s="185"/>
      <c r="AI25" s="185">
        <f t="shared" si="10"/>
        <v>0</v>
      </c>
      <c r="AJ25" s="185"/>
      <c r="AK25" s="185">
        <f t="shared" si="11"/>
        <v>0</v>
      </c>
      <c r="AL25" s="185"/>
      <c r="AM25" s="185">
        <f t="shared" si="12"/>
        <v>0</v>
      </c>
      <c r="AN25" s="185"/>
      <c r="AO25" s="185">
        <f t="shared" si="13"/>
        <v>0</v>
      </c>
      <c r="AP25" s="185"/>
      <c r="AQ25" s="185">
        <f t="shared" si="14"/>
        <v>0</v>
      </c>
      <c r="AR25" s="185"/>
      <c r="AS25" s="185">
        <f t="shared" si="15"/>
        <v>0</v>
      </c>
      <c r="AT25" s="185"/>
      <c r="AU25" s="185">
        <f t="shared" si="21"/>
        <v>0</v>
      </c>
      <c r="AV25" s="185"/>
      <c r="AW25" s="185">
        <f t="shared" si="21"/>
        <v>0</v>
      </c>
      <c r="AX25" s="185"/>
      <c r="AY25" s="185">
        <f t="shared" si="21"/>
        <v>0</v>
      </c>
      <c r="AZ25" s="136"/>
      <c r="BA25" s="136"/>
      <c r="BJ25" s="221"/>
      <c r="BK25" s="221"/>
      <c r="BL25" s="221"/>
      <c r="BM25" s="221"/>
      <c r="BN25" s="221"/>
      <c r="BO25" s="221"/>
      <c r="BP25" s="221"/>
      <c r="BQ25" s="202"/>
      <c r="BR25" s="202"/>
      <c r="BS25" s="202"/>
      <c r="BT25" s="202"/>
      <c r="BU25" s="202"/>
      <c r="BV25" s="202"/>
      <c r="BW25" s="202"/>
      <c r="BX25" s="202"/>
      <c r="BY25" s="202"/>
      <c r="BZ25" s="202"/>
      <c r="CA25" s="202"/>
      <c r="CB25" s="202"/>
      <c r="CC25" s="202"/>
      <c r="CD25" s="202"/>
      <c r="CE25" s="202"/>
    </row>
    <row r="26" spans="1:83" s="151" customFormat="1" x14ac:dyDescent="0.35">
      <c r="A26" s="168">
        <f t="shared" si="20"/>
        <v>13</v>
      </c>
      <c r="B26" s="169"/>
      <c r="C26" s="174">
        <v>1</v>
      </c>
      <c r="D26" s="171"/>
      <c r="E26" s="168" t="s">
        <v>45</v>
      </c>
      <c r="F26" s="169"/>
      <c r="G26" s="169" t="s">
        <v>45</v>
      </c>
      <c r="H26" s="169"/>
      <c r="I26" s="168" t="s">
        <v>45</v>
      </c>
      <c r="J26" s="169"/>
      <c r="K26" s="225" t="s">
        <v>45</v>
      </c>
      <c r="L26" s="169"/>
      <c r="M26" s="168">
        <v>1</v>
      </c>
      <c r="N26" s="237">
        <f t="shared" si="19"/>
        <v>2023</v>
      </c>
      <c r="O26" s="241">
        <f t="shared" si="22"/>
        <v>2024</v>
      </c>
      <c r="P26" s="169"/>
      <c r="Q26" s="172">
        <v>1</v>
      </c>
      <c r="R26" s="173"/>
      <c r="S26" s="174">
        <f t="shared" si="23"/>
        <v>1</v>
      </c>
      <c r="T26" s="174"/>
      <c r="U26" s="175">
        <f t="shared" si="24"/>
        <v>1</v>
      </c>
      <c r="V26" s="171"/>
      <c r="W26" s="174">
        <f t="shared" si="4"/>
        <v>1</v>
      </c>
      <c r="X26" s="174"/>
      <c r="Y26" s="174">
        <f t="shared" si="5"/>
        <v>0</v>
      </c>
      <c r="Z26" s="174"/>
      <c r="AA26" s="174">
        <f t="shared" si="6"/>
        <v>0</v>
      </c>
      <c r="AB26" s="174"/>
      <c r="AC26" s="174">
        <f t="shared" si="7"/>
        <v>0</v>
      </c>
      <c r="AD26" s="174"/>
      <c r="AE26" s="174">
        <f t="shared" si="8"/>
        <v>0</v>
      </c>
      <c r="AF26" s="174"/>
      <c r="AG26" s="174">
        <f t="shared" si="9"/>
        <v>0</v>
      </c>
      <c r="AH26" s="174"/>
      <c r="AI26" s="174">
        <f t="shared" si="10"/>
        <v>0</v>
      </c>
      <c r="AJ26" s="174"/>
      <c r="AK26" s="174">
        <f t="shared" si="11"/>
        <v>0</v>
      </c>
      <c r="AL26" s="174"/>
      <c r="AM26" s="174">
        <f t="shared" si="12"/>
        <v>0</v>
      </c>
      <c r="AN26" s="174"/>
      <c r="AO26" s="174">
        <f t="shared" si="13"/>
        <v>0</v>
      </c>
      <c r="AP26" s="174"/>
      <c r="AQ26" s="174">
        <f t="shared" si="14"/>
        <v>0</v>
      </c>
      <c r="AR26" s="174"/>
      <c r="AS26" s="174">
        <f t="shared" si="15"/>
        <v>0</v>
      </c>
      <c r="AT26" s="174"/>
      <c r="AU26" s="174">
        <f t="shared" si="21"/>
        <v>0</v>
      </c>
      <c r="AV26" s="174"/>
      <c r="AW26" s="174">
        <f t="shared" si="21"/>
        <v>0</v>
      </c>
      <c r="AX26" s="174"/>
      <c r="AY26" s="174">
        <f t="shared" si="21"/>
        <v>0</v>
      </c>
      <c r="AZ26" s="181"/>
      <c r="BA26" s="136"/>
      <c r="BJ26" s="221"/>
      <c r="BK26" s="221"/>
      <c r="BL26" s="221"/>
      <c r="BM26" s="221"/>
      <c r="BN26" s="221"/>
      <c r="BO26" s="221"/>
      <c r="BP26" s="221"/>
      <c r="BQ26" s="202"/>
      <c r="BR26" s="202"/>
      <c r="BS26" s="202"/>
      <c r="BT26" s="202"/>
      <c r="BU26" s="202"/>
      <c r="BV26" s="202"/>
      <c r="BW26" s="202"/>
      <c r="BX26" s="202"/>
      <c r="BY26" s="202"/>
      <c r="BZ26" s="202"/>
      <c r="CA26" s="202"/>
      <c r="CB26" s="202"/>
      <c r="CC26" s="202"/>
      <c r="CD26" s="202"/>
      <c r="CE26" s="202"/>
    </row>
    <row r="27" spans="1:83" s="151" customFormat="1" x14ac:dyDescent="0.35">
      <c r="A27" s="168">
        <f t="shared" si="20"/>
        <v>14</v>
      </c>
      <c r="B27" s="169"/>
      <c r="C27" s="174">
        <v>1</v>
      </c>
      <c r="D27" s="171"/>
      <c r="E27" s="168" t="s">
        <v>45</v>
      </c>
      <c r="F27" s="169"/>
      <c r="G27" s="169" t="s">
        <v>45</v>
      </c>
      <c r="H27" s="169"/>
      <c r="I27" s="168" t="s">
        <v>45</v>
      </c>
      <c r="J27" s="169"/>
      <c r="K27" s="225" t="s">
        <v>45</v>
      </c>
      <c r="L27" s="169"/>
      <c r="M27" s="168">
        <v>1</v>
      </c>
      <c r="N27" s="237">
        <f t="shared" si="19"/>
        <v>2023</v>
      </c>
      <c r="O27" s="241">
        <f t="shared" si="22"/>
        <v>2024</v>
      </c>
      <c r="P27" s="169"/>
      <c r="Q27" s="172">
        <v>1</v>
      </c>
      <c r="R27" s="173"/>
      <c r="S27" s="174">
        <f t="shared" si="23"/>
        <v>1</v>
      </c>
      <c r="T27" s="174"/>
      <c r="U27" s="175">
        <f t="shared" si="24"/>
        <v>1</v>
      </c>
      <c r="V27" s="171"/>
      <c r="W27" s="174">
        <f t="shared" si="4"/>
        <v>1</v>
      </c>
      <c r="X27" s="174"/>
      <c r="Y27" s="174">
        <f t="shared" si="5"/>
        <v>0</v>
      </c>
      <c r="Z27" s="174"/>
      <c r="AA27" s="174">
        <f t="shared" si="6"/>
        <v>0</v>
      </c>
      <c r="AB27" s="174"/>
      <c r="AC27" s="174">
        <f t="shared" si="7"/>
        <v>0</v>
      </c>
      <c r="AD27" s="174"/>
      <c r="AE27" s="174">
        <f t="shared" si="8"/>
        <v>0</v>
      </c>
      <c r="AF27" s="174"/>
      <c r="AG27" s="174">
        <f t="shared" si="9"/>
        <v>0</v>
      </c>
      <c r="AH27" s="174"/>
      <c r="AI27" s="174">
        <f t="shared" si="10"/>
        <v>0</v>
      </c>
      <c r="AJ27" s="174"/>
      <c r="AK27" s="174">
        <f t="shared" si="11"/>
        <v>0</v>
      </c>
      <c r="AL27" s="174"/>
      <c r="AM27" s="174">
        <f t="shared" si="12"/>
        <v>0</v>
      </c>
      <c r="AN27" s="174"/>
      <c r="AO27" s="174">
        <f t="shared" si="13"/>
        <v>0</v>
      </c>
      <c r="AP27" s="174"/>
      <c r="AQ27" s="174">
        <f t="shared" si="14"/>
        <v>0</v>
      </c>
      <c r="AR27" s="174"/>
      <c r="AS27" s="174">
        <f t="shared" si="15"/>
        <v>0</v>
      </c>
      <c r="AT27" s="174"/>
      <c r="AU27" s="174">
        <f t="shared" si="21"/>
        <v>0</v>
      </c>
      <c r="AV27" s="174"/>
      <c r="AW27" s="174">
        <f t="shared" si="21"/>
        <v>0</v>
      </c>
      <c r="AX27" s="174"/>
      <c r="AY27" s="174">
        <f t="shared" si="21"/>
        <v>0</v>
      </c>
      <c r="AZ27" s="181"/>
      <c r="BA27" s="136"/>
      <c r="BJ27" s="221"/>
      <c r="BK27" s="221"/>
      <c r="BL27" s="221"/>
      <c r="BM27" s="221"/>
      <c r="BN27" s="221"/>
      <c r="BO27" s="221"/>
      <c r="BP27" s="221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</row>
    <row r="28" spans="1:83" s="151" customFormat="1" x14ac:dyDescent="0.35">
      <c r="A28" s="168">
        <f t="shared" si="20"/>
        <v>15</v>
      </c>
      <c r="B28" s="169"/>
      <c r="C28" s="174">
        <v>1</v>
      </c>
      <c r="D28" s="171"/>
      <c r="E28" s="168" t="s">
        <v>45</v>
      </c>
      <c r="F28" s="169"/>
      <c r="G28" s="169" t="s">
        <v>45</v>
      </c>
      <c r="H28" s="169"/>
      <c r="I28" s="168" t="s">
        <v>45</v>
      </c>
      <c r="J28" s="169"/>
      <c r="K28" s="225" t="s">
        <v>45</v>
      </c>
      <c r="L28" s="169"/>
      <c r="M28" s="168">
        <v>1</v>
      </c>
      <c r="N28" s="237">
        <f t="shared" si="19"/>
        <v>2023</v>
      </c>
      <c r="O28" s="241">
        <f t="shared" si="22"/>
        <v>2024</v>
      </c>
      <c r="P28" s="169"/>
      <c r="Q28" s="172">
        <v>1</v>
      </c>
      <c r="R28" s="173"/>
      <c r="S28" s="174">
        <f t="shared" si="23"/>
        <v>1</v>
      </c>
      <c r="T28" s="174"/>
      <c r="U28" s="175">
        <f t="shared" si="24"/>
        <v>1</v>
      </c>
      <c r="V28" s="171"/>
      <c r="W28" s="174">
        <f t="shared" si="4"/>
        <v>1</v>
      </c>
      <c r="X28" s="174"/>
      <c r="Y28" s="174">
        <f t="shared" si="5"/>
        <v>0</v>
      </c>
      <c r="Z28" s="174"/>
      <c r="AA28" s="174">
        <f t="shared" si="6"/>
        <v>0</v>
      </c>
      <c r="AB28" s="174"/>
      <c r="AC28" s="174">
        <f t="shared" si="7"/>
        <v>0</v>
      </c>
      <c r="AD28" s="174"/>
      <c r="AE28" s="174">
        <f t="shared" si="8"/>
        <v>0</v>
      </c>
      <c r="AF28" s="174"/>
      <c r="AG28" s="174">
        <f t="shared" si="9"/>
        <v>0</v>
      </c>
      <c r="AH28" s="174"/>
      <c r="AI28" s="174">
        <f t="shared" si="10"/>
        <v>0</v>
      </c>
      <c r="AJ28" s="174"/>
      <c r="AK28" s="174">
        <f t="shared" si="11"/>
        <v>0</v>
      </c>
      <c r="AL28" s="174"/>
      <c r="AM28" s="174">
        <f t="shared" si="12"/>
        <v>0</v>
      </c>
      <c r="AN28" s="174"/>
      <c r="AO28" s="174">
        <f t="shared" si="13"/>
        <v>0</v>
      </c>
      <c r="AP28" s="174"/>
      <c r="AQ28" s="174">
        <f t="shared" si="14"/>
        <v>0</v>
      </c>
      <c r="AR28" s="174"/>
      <c r="AS28" s="174">
        <f t="shared" si="15"/>
        <v>0</v>
      </c>
      <c r="AT28" s="174"/>
      <c r="AU28" s="174">
        <f t="shared" si="21"/>
        <v>0</v>
      </c>
      <c r="AV28" s="174"/>
      <c r="AW28" s="174">
        <f t="shared" si="21"/>
        <v>0</v>
      </c>
      <c r="AX28" s="174"/>
      <c r="AY28" s="174">
        <f t="shared" si="21"/>
        <v>0</v>
      </c>
      <c r="AZ28" s="181"/>
      <c r="BA28" s="136"/>
      <c r="BJ28" s="221"/>
      <c r="BK28" s="221"/>
      <c r="BL28" s="221"/>
      <c r="BM28" s="221"/>
      <c r="BN28" s="221"/>
      <c r="BO28" s="221"/>
      <c r="BP28" s="221"/>
      <c r="BQ28" s="202"/>
      <c r="BR28" s="202"/>
      <c r="BS28" s="202"/>
      <c r="BT28" s="202"/>
      <c r="BU28" s="202"/>
      <c r="BV28" s="202"/>
      <c r="BW28" s="202"/>
      <c r="BX28" s="202"/>
      <c r="BY28" s="202"/>
      <c r="BZ28" s="202"/>
      <c r="CA28" s="202"/>
      <c r="CB28" s="202"/>
      <c r="CC28" s="202"/>
      <c r="CD28" s="202"/>
      <c r="CE28" s="202"/>
    </row>
    <row r="29" spans="1:83" s="151" customFormat="1" x14ac:dyDescent="0.35">
      <c r="A29" s="180">
        <f t="shared" si="20"/>
        <v>16</v>
      </c>
      <c r="B29" s="136"/>
      <c r="C29" s="178">
        <v>1</v>
      </c>
      <c r="D29" s="138"/>
      <c r="E29" s="135" t="s">
        <v>45</v>
      </c>
      <c r="F29" s="136"/>
      <c r="G29" s="136" t="s">
        <v>45</v>
      </c>
      <c r="H29" s="136"/>
      <c r="I29" s="135" t="s">
        <v>45</v>
      </c>
      <c r="J29" s="136"/>
      <c r="K29" s="143" t="s">
        <v>45</v>
      </c>
      <c r="L29" s="136"/>
      <c r="M29" s="135">
        <v>1</v>
      </c>
      <c r="N29" s="238">
        <f t="shared" si="19"/>
        <v>2023</v>
      </c>
      <c r="O29" s="242">
        <f t="shared" si="22"/>
        <v>2024</v>
      </c>
      <c r="P29" s="136"/>
      <c r="Q29" s="176">
        <v>1</v>
      </c>
      <c r="R29" s="177"/>
      <c r="S29" s="178">
        <f t="shared" si="23"/>
        <v>1</v>
      </c>
      <c r="T29" s="178"/>
      <c r="U29" s="186">
        <f t="shared" si="24"/>
        <v>1</v>
      </c>
      <c r="V29" s="183"/>
      <c r="W29" s="185">
        <f t="shared" si="4"/>
        <v>1</v>
      </c>
      <c r="X29" s="185"/>
      <c r="Y29" s="185">
        <f t="shared" si="5"/>
        <v>0</v>
      </c>
      <c r="Z29" s="185"/>
      <c r="AA29" s="185">
        <f t="shared" si="6"/>
        <v>0</v>
      </c>
      <c r="AB29" s="185"/>
      <c r="AC29" s="185">
        <f t="shared" si="7"/>
        <v>0</v>
      </c>
      <c r="AD29" s="185"/>
      <c r="AE29" s="185">
        <f t="shared" si="8"/>
        <v>0</v>
      </c>
      <c r="AF29" s="185"/>
      <c r="AG29" s="185">
        <f t="shared" si="9"/>
        <v>0</v>
      </c>
      <c r="AH29" s="185"/>
      <c r="AI29" s="185">
        <f t="shared" si="10"/>
        <v>0</v>
      </c>
      <c r="AJ29" s="185"/>
      <c r="AK29" s="185">
        <f t="shared" si="11"/>
        <v>0</v>
      </c>
      <c r="AL29" s="185"/>
      <c r="AM29" s="185">
        <f t="shared" si="12"/>
        <v>0</v>
      </c>
      <c r="AN29" s="185"/>
      <c r="AO29" s="185">
        <f t="shared" si="13"/>
        <v>0</v>
      </c>
      <c r="AP29" s="185"/>
      <c r="AQ29" s="185">
        <f t="shared" si="14"/>
        <v>0</v>
      </c>
      <c r="AR29" s="185"/>
      <c r="AS29" s="185">
        <f t="shared" si="15"/>
        <v>0</v>
      </c>
      <c r="AT29" s="185"/>
      <c r="AU29" s="185">
        <f t="shared" si="21"/>
        <v>0</v>
      </c>
      <c r="AV29" s="185"/>
      <c r="AW29" s="185">
        <f t="shared" si="21"/>
        <v>0</v>
      </c>
      <c r="AX29" s="185"/>
      <c r="AY29" s="185">
        <f t="shared" si="21"/>
        <v>0</v>
      </c>
      <c r="AZ29" s="136"/>
      <c r="BA29" s="136"/>
      <c r="BJ29" s="221"/>
      <c r="BK29" s="221"/>
      <c r="BL29" s="221"/>
      <c r="BM29" s="221"/>
      <c r="BN29" s="221"/>
      <c r="BO29" s="221"/>
      <c r="BP29" s="221"/>
      <c r="BQ29" s="202"/>
      <c r="BR29" s="202"/>
      <c r="BS29" s="202"/>
      <c r="BT29" s="202"/>
      <c r="BU29" s="202"/>
      <c r="BV29" s="202"/>
      <c r="BW29" s="202"/>
      <c r="BX29" s="202"/>
      <c r="BY29" s="202"/>
      <c r="BZ29" s="202"/>
      <c r="CA29" s="202"/>
      <c r="CB29" s="202"/>
      <c r="CC29" s="202"/>
      <c r="CD29" s="202"/>
      <c r="CE29" s="202"/>
    </row>
    <row r="30" spans="1:83" s="151" customFormat="1" x14ac:dyDescent="0.35">
      <c r="A30" s="180">
        <f t="shared" si="20"/>
        <v>17</v>
      </c>
      <c r="B30" s="136"/>
      <c r="C30" s="178">
        <v>1</v>
      </c>
      <c r="D30" s="138"/>
      <c r="E30" s="135" t="s">
        <v>45</v>
      </c>
      <c r="F30" s="136"/>
      <c r="G30" s="136" t="s">
        <v>45</v>
      </c>
      <c r="H30" s="136"/>
      <c r="I30" s="135" t="s">
        <v>45</v>
      </c>
      <c r="J30" s="136"/>
      <c r="K30" s="143" t="s">
        <v>45</v>
      </c>
      <c r="L30" s="136"/>
      <c r="M30" s="135">
        <v>1</v>
      </c>
      <c r="N30" s="238">
        <f t="shared" si="19"/>
        <v>2023</v>
      </c>
      <c r="O30" s="242">
        <f t="shared" si="22"/>
        <v>2024</v>
      </c>
      <c r="P30" s="136"/>
      <c r="Q30" s="176">
        <v>1</v>
      </c>
      <c r="R30" s="177"/>
      <c r="S30" s="178">
        <f t="shared" si="23"/>
        <v>1</v>
      </c>
      <c r="T30" s="178"/>
      <c r="U30" s="186">
        <f t="shared" si="24"/>
        <v>1</v>
      </c>
      <c r="V30" s="183"/>
      <c r="W30" s="185">
        <f t="shared" si="4"/>
        <v>1</v>
      </c>
      <c r="X30" s="185"/>
      <c r="Y30" s="185">
        <f t="shared" si="5"/>
        <v>0</v>
      </c>
      <c r="Z30" s="185"/>
      <c r="AA30" s="185">
        <f t="shared" si="6"/>
        <v>0</v>
      </c>
      <c r="AB30" s="185"/>
      <c r="AC30" s="185">
        <f t="shared" si="7"/>
        <v>0</v>
      </c>
      <c r="AD30" s="185"/>
      <c r="AE30" s="185">
        <f t="shared" si="8"/>
        <v>0</v>
      </c>
      <c r="AF30" s="185"/>
      <c r="AG30" s="185">
        <f t="shared" si="9"/>
        <v>0</v>
      </c>
      <c r="AH30" s="185"/>
      <c r="AI30" s="185">
        <f t="shared" si="10"/>
        <v>0</v>
      </c>
      <c r="AJ30" s="185"/>
      <c r="AK30" s="185">
        <f t="shared" si="11"/>
        <v>0</v>
      </c>
      <c r="AL30" s="185"/>
      <c r="AM30" s="185">
        <f t="shared" si="12"/>
        <v>0</v>
      </c>
      <c r="AN30" s="185"/>
      <c r="AO30" s="185">
        <f t="shared" si="13"/>
        <v>0</v>
      </c>
      <c r="AP30" s="185"/>
      <c r="AQ30" s="185">
        <f t="shared" si="14"/>
        <v>0</v>
      </c>
      <c r="AR30" s="185"/>
      <c r="AS30" s="185">
        <f t="shared" si="15"/>
        <v>0</v>
      </c>
      <c r="AT30" s="185"/>
      <c r="AU30" s="185">
        <f t="shared" si="21"/>
        <v>0</v>
      </c>
      <c r="AV30" s="185"/>
      <c r="AW30" s="185">
        <f t="shared" si="21"/>
        <v>0</v>
      </c>
      <c r="AX30" s="185"/>
      <c r="AY30" s="185">
        <f t="shared" si="21"/>
        <v>0</v>
      </c>
      <c r="AZ30" s="136"/>
      <c r="BA30" s="136"/>
      <c r="BJ30" s="221"/>
      <c r="BK30" s="221"/>
      <c r="BL30" s="221"/>
      <c r="BM30" s="221"/>
      <c r="BN30" s="221"/>
      <c r="BO30" s="221"/>
      <c r="BP30" s="221"/>
      <c r="BQ30" s="202"/>
      <c r="BR30" s="202"/>
      <c r="BS30" s="202"/>
      <c r="BT30" s="202"/>
      <c r="BU30" s="202"/>
      <c r="BV30" s="202"/>
      <c r="BW30" s="202"/>
      <c r="BX30" s="202"/>
      <c r="BY30" s="202"/>
      <c r="BZ30" s="202"/>
      <c r="CA30" s="202"/>
      <c r="CB30" s="202"/>
      <c r="CC30" s="202"/>
      <c r="CD30" s="202"/>
      <c r="CE30" s="202"/>
    </row>
    <row r="31" spans="1:83" s="151" customFormat="1" x14ac:dyDescent="0.35">
      <c r="A31" s="180">
        <f t="shared" si="20"/>
        <v>18</v>
      </c>
      <c r="B31" s="136"/>
      <c r="C31" s="178">
        <v>1</v>
      </c>
      <c r="D31" s="138"/>
      <c r="E31" s="135" t="s">
        <v>45</v>
      </c>
      <c r="F31" s="136"/>
      <c r="G31" s="136" t="s">
        <v>45</v>
      </c>
      <c r="H31" s="136"/>
      <c r="I31" s="135" t="s">
        <v>45</v>
      </c>
      <c r="J31" s="136"/>
      <c r="K31" s="143" t="s">
        <v>45</v>
      </c>
      <c r="L31" s="136"/>
      <c r="M31" s="135">
        <v>1</v>
      </c>
      <c r="N31" s="238">
        <f t="shared" si="19"/>
        <v>2023</v>
      </c>
      <c r="O31" s="242">
        <f t="shared" si="22"/>
        <v>2024</v>
      </c>
      <c r="P31" s="136"/>
      <c r="Q31" s="176">
        <v>1</v>
      </c>
      <c r="R31" s="177"/>
      <c r="S31" s="178">
        <f t="shared" si="23"/>
        <v>1</v>
      </c>
      <c r="T31" s="178"/>
      <c r="U31" s="186">
        <f t="shared" si="24"/>
        <v>1</v>
      </c>
      <c r="V31" s="183"/>
      <c r="W31" s="185">
        <f t="shared" si="4"/>
        <v>1</v>
      </c>
      <c r="X31" s="185"/>
      <c r="Y31" s="185">
        <f t="shared" si="5"/>
        <v>0</v>
      </c>
      <c r="Z31" s="185"/>
      <c r="AA31" s="185">
        <f t="shared" si="6"/>
        <v>0</v>
      </c>
      <c r="AB31" s="185"/>
      <c r="AC31" s="185">
        <f t="shared" si="7"/>
        <v>0</v>
      </c>
      <c r="AD31" s="185"/>
      <c r="AE31" s="185">
        <f t="shared" si="8"/>
        <v>0</v>
      </c>
      <c r="AF31" s="185"/>
      <c r="AG31" s="185">
        <f t="shared" si="9"/>
        <v>0</v>
      </c>
      <c r="AH31" s="185"/>
      <c r="AI31" s="185">
        <f t="shared" si="10"/>
        <v>0</v>
      </c>
      <c r="AJ31" s="185"/>
      <c r="AK31" s="185">
        <f t="shared" si="11"/>
        <v>0</v>
      </c>
      <c r="AL31" s="185"/>
      <c r="AM31" s="185">
        <f t="shared" si="12"/>
        <v>0</v>
      </c>
      <c r="AN31" s="185"/>
      <c r="AO31" s="185">
        <f t="shared" si="13"/>
        <v>0</v>
      </c>
      <c r="AP31" s="185"/>
      <c r="AQ31" s="185">
        <f t="shared" si="14"/>
        <v>0</v>
      </c>
      <c r="AR31" s="185"/>
      <c r="AS31" s="185">
        <f t="shared" si="15"/>
        <v>0</v>
      </c>
      <c r="AT31" s="185"/>
      <c r="AU31" s="185">
        <f t="shared" si="21"/>
        <v>0</v>
      </c>
      <c r="AV31" s="185"/>
      <c r="AW31" s="185">
        <f t="shared" si="21"/>
        <v>0</v>
      </c>
      <c r="AX31" s="185"/>
      <c r="AY31" s="185">
        <f t="shared" si="21"/>
        <v>0</v>
      </c>
      <c r="AZ31" s="136"/>
      <c r="BA31" s="136"/>
      <c r="BJ31" s="221"/>
      <c r="BK31" s="221"/>
      <c r="BL31" s="221"/>
      <c r="BM31" s="221"/>
      <c r="BN31" s="221"/>
      <c r="BO31" s="221"/>
      <c r="BP31" s="221"/>
      <c r="BQ31" s="202"/>
      <c r="BR31" s="202"/>
      <c r="BS31" s="202"/>
      <c r="BT31" s="202"/>
      <c r="BU31" s="202"/>
      <c r="BV31" s="202"/>
      <c r="BW31" s="202"/>
      <c r="BX31" s="202"/>
      <c r="BY31" s="202"/>
      <c r="BZ31" s="202"/>
      <c r="CA31" s="202"/>
      <c r="CB31" s="202"/>
      <c r="CC31" s="202"/>
      <c r="CD31" s="202"/>
      <c r="CE31" s="202"/>
    </row>
    <row r="32" spans="1:83" s="151" customFormat="1" x14ac:dyDescent="0.35">
      <c r="A32" s="168">
        <f t="shared" si="20"/>
        <v>19</v>
      </c>
      <c r="B32" s="169"/>
      <c r="C32" s="174">
        <v>1</v>
      </c>
      <c r="D32" s="171"/>
      <c r="E32" s="168" t="s">
        <v>45</v>
      </c>
      <c r="F32" s="169"/>
      <c r="G32" s="169" t="s">
        <v>45</v>
      </c>
      <c r="H32" s="169"/>
      <c r="I32" s="168" t="s">
        <v>45</v>
      </c>
      <c r="J32" s="169"/>
      <c r="K32" s="225" t="s">
        <v>45</v>
      </c>
      <c r="L32" s="169"/>
      <c r="M32" s="168">
        <v>1</v>
      </c>
      <c r="N32" s="237">
        <f t="shared" si="19"/>
        <v>2023</v>
      </c>
      <c r="O32" s="241">
        <f t="shared" si="22"/>
        <v>2024</v>
      </c>
      <c r="P32" s="169"/>
      <c r="Q32" s="172">
        <v>1</v>
      </c>
      <c r="R32" s="173"/>
      <c r="S32" s="174">
        <f t="shared" si="23"/>
        <v>1</v>
      </c>
      <c r="T32" s="174"/>
      <c r="U32" s="175">
        <f t="shared" si="24"/>
        <v>1</v>
      </c>
      <c r="V32" s="171"/>
      <c r="W32" s="174">
        <f t="shared" si="4"/>
        <v>1</v>
      </c>
      <c r="X32" s="174"/>
      <c r="Y32" s="174">
        <f t="shared" si="5"/>
        <v>0</v>
      </c>
      <c r="Z32" s="174"/>
      <c r="AA32" s="174">
        <f t="shared" si="6"/>
        <v>0</v>
      </c>
      <c r="AB32" s="174"/>
      <c r="AC32" s="174">
        <f t="shared" si="7"/>
        <v>0</v>
      </c>
      <c r="AD32" s="174"/>
      <c r="AE32" s="174">
        <f t="shared" si="8"/>
        <v>0</v>
      </c>
      <c r="AF32" s="174"/>
      <c r="AG32" s="174">
        <f t="shared" si="9"/>
        <v>0</v>
      </c>
      <c r="AH32" s="174"/>
      <c r="AI32" s="174">
        <f t="shared" si="10"/>
        <v>0</v>
      </c>
      <c r="AJ32" s="174"/>
      <c r="AK32" s="174">
        <f t="shared" si="11"/>
        <v>0</v>
      </c>
      <c r="AL32" s="174"/>
      <c r="AM32" s="174">
        <f t="shared" si="12"/>
        <v>0</v>
      </c>
      <c r="AN32" s="174"/>
      <c r="AO32" s="174">
        <f t="shared" si="13"/>
        <v>0</v>
      </c>
      <c r="AP32" s="174"/>
      <c r="AQ32" s="174">
        <f t="shared" si="14"/>
        <v>0</v>
      </c>
      <c r="AR32" s="174"/>
      <c r="AS32" s="174">
        <f t="shared" si="15"/>
        <v>0</v>
      </c>
      <c r="AT32" s="174"/>
      <c r="AU32" s="174">
        <f t="shared" si="21"/>
        <v>0</v>
      </c>
      <c r="AV32" s="174"/>
      <c r="AW32" s="174">
        <f t="shared" si="21"/>
        <v>0</v>
      </c>
      <c r="AX32" s="174"/>
      <c r="AY32" s="174">
        <f t="shared" si="21"/>
        <v>0</v>
      </c>
      <c r="AZ32" s="136"/>
      <c r="BA32" s="136"/>
      <c r="BJ32" s="221"/>
      <c r="BK32" s="221"/>
      <c r="BL32" s="221"/>
      <c r="BM32" s="221"/>
      <c r="BN32" s="221"/>
      <c r="BO32" s="221"/>
      <c r="BP32" s="221"/>
      <c r="BQ32" s="202"/>
      <c r="BR32" s="202"/>
      <c r="BS32" s="202"/>
      <c r="BT32" s="202"/>
      <c r="BU32" s="202"/>
      <c r="BV32" s="202"/>
      <c r="BW32" s="202"/>
      <c r="BX32" s="202"/>
      <c r="BY32" s="202"/>
      <c r="BZ32" s="202"/>
      <c r="CA32" s="202"/>
      <c r="CB32" s="202"/>
      <c r="CC32" s="202"/>
      <c r="CD32" s="202"/>
      <c r="CE32" s="202"/>
    </row>
    <row r="33" spans="1:83" s="151" customFormat="1" x14ac:dyDescent="0.35">
      <c r="A33" s="168">
        <f t="shared" si="20"/>
        <v>20</v>
      </c>
      <c r="B33" s="169"/>
      <c r="C33" s="174">
        <v>1</v>
      </c>
      <c r="D33" s="171"/>
      <c r="E33" s="168" t="s">
        <v>45</v>
      </c>
      <c r="F33" s="169"/>
      <c r="G33" s="169" t="s">
        <v>45</v>
      </c>
      <c r="H33" s="169"/>
      <c r="I33" s="168" t="s">
        <v>45</v>
      </c>
      <c r="J33" s="169"/>
      <c r="K33" s="225" t="s">
        <v>45</v>
      </c>
      <c r="L33" s="169"/>
      <c r="M33" s="168">
        <v>1</v>
      </c>
      <c r="N33" s="237">
        <f t="shared" si="19"/>
        <v>2023</v>
      </c>
      <c r="O33" s="241">
        <f t="shared" si="22"/>
        <v>2024</v>
      </c>
      <c r="P33" s="169"/>
      <c r="Q33" s="172">
        <v>1</v>
      </c>
      <c r="R33" s="173"/>
      <c r="S33" s="174">
        <f t="shared" si="23"/>
        <v>1</v>
      </c>
      <c r="T33" s="174"/>
      <c r="U33" s="175">
        <f t="shared" si="24"/>
        <v>1</v>
      </c>
      <c r="V33" s="171"/>
      <c r="W33" s="174">
        <f t="shared" si="4"/>
        <v>1</v>
      </c>
      <c r="X33" s="174"/>
      <c r="Y33" s="174">
        <f t="shared" si="5"/>
        <v>0</v>
      </c>
      <c r="Z33" s="174"/>
      <c r="AA33" s="174">
        <f t="shared" si="6"/>
        <v>0</v>
      </c>
      <c r="AB33" s="174"/>
      <c r="AC33" s="174">
        <f t="shared" si="7"/>
        <v>0</v>
      </c>
      <c r="AD33" s="174"/>
      <c r="AE33" s="174">
        <f t="shared" si="8"/>
        <v>0</v>
      </c>
      <c r="AF33" s="174"/>
      <c r="AG33" s="174">
        <f t="shared" si="9"/>
        <v>0</v>
      </c>
      <c r="AH33" s="174"/>
      <c r="AI33" s="174">
        <f t="shared" si="10"/>
        <v>0</v>
      </c>
      <c r="AJ33" s="174"/>
      <c r="AK33" s="174">
        <f t="shared" si="11"/>
        <v>0</v>
      </c>
      <c r="AL33" s="174"/>
      <c r="AM33" s="174">
        <f t="shared" si="12"/>
        <v>0</v>
      </c>
      <c r="AN33" s="174"/>
      <c r="AO33" s="174">
        <f t="shared" si="13"/>
        <v>0</v>
      </c>
      <c r="AP33" s="174"/>
      <c r="AQ33" s="174">
        <f t="shared" si="14"/>
        <v>0</v>
      </c>
      <c r="AR33" s="174"/>
      <c r="AS33" s="174">
        <f t="shared" si="15"/>
        <v>0</v>
      </c>
      <c r="AT33" s="174"/>
      <c r="AU33" s="174">
        <f t="shared" si="21"/>
        <v>0</v>
      </c>
      <c r="AV33" s="174"/>
      <c r="AW33" s="174">
        <f t="shared" si="21"/>
        <v>0</v>
      </c>
      <c r="AX33" s="174"/>
      <c r="AY33" s="174">
        <f t="shared" si="21"/>
        <v>0</v>
      </c>
      <c r="AZ33" s="136"/>
      <c r="BA33" s="136"/>
      <c r="BJ33" s="221"/>
      <c r="BK33" s="221"/>
      <c r="BL33" s="221"/>
      <c r="BM33" s="221"/>
      <c r="BN33" s="221"/>
      <c r="BO33" s="221"/>
      <c r="BP33" s="221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</row>
    <row r="34" spans="1:83" s="151" customFormat="1" x14ac:dyDescent="0.35">
      <c r="A34" s="168">
        <f t="shared" si="20"/>
        <v>21</v>
      </c>
      <c r="B34" s="169"/>
      <c r="C34" s="174">
        <v>1</v>
      </c>
      <c r="D34" s="171"/>
      <c r="E34" s="168" t="s">
        <v>45</v>
      </c>
      <c r="F34" s="169"/>
      <c r="G34" s="169" t="s">
        <v>45</v>
      </c>
      <c r="H34" s="169"/>
      <c r="I34" s="168" t="s">
        <v>45</v>
      </c>
      <c r="J34" s="169"/>
      <c r="K34" s="225" t="s">
        <v>45</v>
      </c>
      <c r="L34" s="169"/>
      <c r="M34" s="168">
        <v>1</v>
      </c>
      <c r="N34" s="237">
        <f t="shared" si="19"/>
        <v>2023</v>
      </c>
      <c r="O34" s="241">
        <f t="shared" si="22"/>
        <v>2024</v>
      </c>
      <c r="P34" s="169"/>
      <c r="Q34" s="172">
        <v>1</v>
      </c>
      <c r="R34" s="173"/>
      <c r="S34" s="174">
        <f t="shared" si="23"/>
        <v>1</v>
      </c>
      <c r="T34" s="174"/>
      <c r="U34" s="175">
        <f t="shared" si="24"/>
        <v>1</v>
      </c>
      <c r="V34" s="171"/>
      <c r="W34" s="174">
        <f t="shared" si="4"/>
        <v>1</v>
      </c>
      <c r="X34" s="174"/>
      <c r="Y34" s="174">
        <f t="shared" si="5"/>
        <v>0</v>
      </c>
      <c r="Z34" s="174"/>
      <c r="AA34" s="174">
        <f t="shared" si="6"/>
        <v>0</v>
      </c>
      <c r="AB34" s="174"/>
      <c r="AC34" s="174">
        <f t="shared" si="7"/>
        <v>0</v>
      </c>
      <c r="AD34" s="174"/>
      <c r="AE34" s="174">
        <f t="shared" si="8"/>
        <v>0</v>
      </c>
      <c r="AF34" s="174"/>
      <c r="AG34" s="174">
        <f t="shared" si="9"/>
        <v>0</v>
      </c>
      <c r="AH34" s="174"/>
      <c r="AI34" s="174">
        <f t="shared" si="10"/>
        <v>0</v>
      </c>
      <c r="AJ34" s="174"/>
      <c r="AK34" s="174">
        <f t="shared" si="11"/>
        <v>0</v>
      </c>
      <c r="AL34" s="174"/>
      <c r="AM34" s="174">
        <f t="shared" si="12"/>
        <v>0</v>
      </c>
      <c r="AN34" s="174"/>
      <c r="AO34" s="174">
        <f t="shared" si="13"/>
        <v>0</v>
      </c>
      <c r="AP34" s="174"/>
      <c r="AQ34" s="174">
        <f t="shared" si="14"/>
        <v>0</v>
      </c>
      <c r="AR34" s="174"/>
      <c r="AS34" s="174">
        <f t="shared" si="15"/>
        <v>0</v>
      </c>
      <c r="AT34" s="174"/>
      <c r="AU34" s="174">
        <f t="shared" si="21"/>
        <v>0</v>
      </c>
      <c r="AV34" s="174"/>
      <c r="AW34" s="174">
        <f t="shared" si="21"/>
        <v>0</v>
      </c>
      <c r="AX34" s="174"/>
      <c r="AY34" s="174">
        <f t="shared" si="21"/>
        <v>0</v>
      </c>
      <c r="AZ34" s="136"/>
      <c r="BA34" s="136"/>
      <c r="BJ34" s="221"/>
      <c r="BK34" s="221"/>
      <c r="BL34" s="221"/>
      <c r="BM34" s="221"/>
      <c r="BN34" s="221"/>
      <c r="BO34" s="221"/>
      <c r="BP34" s="221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</row>
    <row r="35" spans="1:83" s="151" customFormat="1" x14ac:dyDescent="0.35">
      <c r="A35" s="180">
        <f t="shared" si="20"/>
        <v>22</v>
      </c>
      <c r="B35" s="136"/>
      <c r="C35" s="178">
        <v>1</v>
      </c>
      <c r="D35" s="138"/>
      <c r="E35" s="135" t="s">
        <v>45</v>
      </c>
      <c r="F35" s="136"/>
      <c r="G35" s="136" t="s">
        <v>45</v>
      </c>
      <c r="H35" s="136"/>
      <c r="I35" s="135" t="s">
        <v>45</v>
      </c>
      <c r="J35" s="136"/>
      <c r="K35" s="143" t="s">
        <v>45</v>
      </c>
      <c r="L35" s="136"/>
      <c r="M35" s="135">
        <v>1</v>
      </c>
      <c r="N35" s="238">
        <f t="shared" si="19"/>
        <v>2023</v>
      </c>
      <c r="O35" s="242">
        <f t="shared" si="22"/>
        <v>2024</v>
      </c>
      <c r="P35" s="136"/>
      <c r="Q35" s="176">
        <v>1</v>
      </c>
      <c r="R35" s="177"/>
      <c r="S35" s="178">
        <f t="shared" si="23"/>
        <v>1</v>
      </c>
      <c r="T35" s="178"/>
      <c r="U35" s="179">
        <f t="shared" si="24"/>
        <v>1</v>
      </c>
      <c r="V35" s="138"/>
      <c r="W35" s="185">
        <f t="shared" si="4"/>
        <v>1</v>
      </c>
      <c r="X35" s="185"/>
      <c r="Y35" s="185">
        <f t="shared" si="5"/>
        <v>0</v>
      </c>
      <c r="Z35" s="185"/>
      <c r="AA35" s="185">
        <f t="shared" si="6"/>
        <v>0</v>
      </c>
      <c r="AB35" s="185"/>
      <c r="AC35" s="185">
        <f t="shared" si="7"/>
        <v>0</v>
      </c>
      <c r="AD35" s="185"/>
      <c r="AE35" s="185">
        <f t="shared" si="8"/>
        <v>0</v>
      </c>
      <c r="AF35" s="185"/>
      <c r="AG35" s="185">
        <f t="shared" si="9"/>
        <v>0</v>
      </c>
      <c r="AH35" s="185"/>
      <c r="AI35" s="185">
        <f t="shared" si="10"/>
        <v>0</v>
      </c>
      <c r="AJ35" s="185"/>
      <c r="AK35" s="185">
        <f t="shared" si="11"/>
        <v>0</v>
      </c>
      <c r="AL35" s="185"/>
      <c r="AM35" s="185">
        <f t="shared" si="12"/>
        <v>0</v>
      </c>
      <c r="AN35" s="185"/>
      <c r="AO35" s="185">
        <f t="shared" si="13"/>
        <v>0</v>
      </c>
      <c r="AP35" s="185"/>
      <c r="AQ35" s="185">
        <f t="shared" si="14"/>
        <v>0</v>
      </c>
      <c r="AR35" s="185"/>
      <c r="AS35" s="185">
        <f t="shared" si="15"/>
        <v>0</v>
      </c>
      <c r="AT35" s="185"/>
      <c r="AU35" s="185">
        <f t="shared" si="21"/>
        <v>0</v>
      </c>
      <c r="AV35" s="185"/>
      <c r="AW35" s="185">
        <f t="shared" si="21"/>
        <v>0</v>
      </c>
      <c r="AX35" s="185"/>
      <c r="AY35" s="185">
        <f t="shared" si="21"/>
        <v>0</v>
      </c>
      <c r="AZ35" s="136"/>
      <c r="BA35" s="136"/>
      <c r="BJ35" s="221"/>
      <c r="BK35" s="221"/>
      <c r="BL35" s="221"/>
      <c r="BM35" s="221"/>
      <c r="BN35" s="221"/>
      <c r="BO35" s="221"/>
      <c r="BP35" s="221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</row>
    <row r="36" spans="1:83" s="151" customFormat="1" x14ac:dyDescent="0.35">
      <c r="A36" s="180">
        <f t="shared" si="20"/>
        <v>23</v>
      </c>
      <c r="B36" s="136"/>
      <c r="C36" s="178">
        <v>1</v>
      </c>
      <c r="D36" s="138"/>
      <c r="E36" s="135" t="s">
        <v>45</v>
      </c>
      <c r="F36" s="136"/>
      <c r="G36" s="136" t="s">
        <v>45</v>
      </c>
      <c r="H36" s="136"/>
      <c r="I36" s="135" t="s">
        <v>45</v>
      </c>
      <c r="J36" s="136"/>
      <c r="K36" s="143" t="s">
        <v>45</v>
      </c>
      <c r="L36" s="136"/>
      <c r="M36" s="135">
        <v>1</v>
      </c>
      <c r="N36" s="238">
        <f t="shared" si="19"/>
        <v>2023</v>
      </c>
      <c r="O36" s="242">
        <f>+$W$10-1+M36</f>
        <v>2024</v>
      </c>
      <c r="P36" s="136"/>
      <c r="Q36" s="176">
        <v>1</v>
      </c>
      <c r="R36" s="177"/>
      <c r="S36" s="178">
        <f t="shared" si="23"/>
        <v>1</v>
      </c>
      <c r="T36" s="178"/>
      <c r="U36" s="179">
        <f t="shared" si="24"/>
        <v>1</v>
      </c>
      <c r="V36" s="138"/>
      <c r="W36" s="185">
        <f t="shared" si="4"/>
        <v>1</v>
      </c>
      <c r="X36" s="185"/>
      <c r="Y36" s="185">
        <f t="shared" si="5"/>
        <v>0</v>
      </c>
      <c r="Z36" s="185"/>
      <c r="AA36" s="185">
        <f t="shared" si="6"/>
        <v>0</v>
      </c>
      <c r="AB36" s="185"/>
      <c r="AC36" s="185">
        <f t="shared" si="7"/>
        <v>0</v>
      </c>
      <c r="AD36" s="185"/>
      <c r="AE36" s="185">
        <f t="shared" si="8"/>
        <v>0</v>
      </c>
      <c r="AF36" s="185"/>
      <c r="AG36" s="185">
        <f t="shared" si="9"/>
        <v>0</v>
      </c>
      <c r="AH36" s="185"/>
      <c r="AI36" s="185">
        <f t="shared" si="10"/>
        <v>0</v>
      </c>
      <c r="AJ36" s="185"/>
      <c r="AK36" s="185">
        <f t="shared" si="11"/>
        <v>0</v>
      </c>
      <c r="AL36" s="185"/>
      <c r="AM36" s="185">
        <f t="shared" si="12"/>
        <v>0</v>
      </c>
      <c r="AN36" s="185"/>
      <c r="AO36" s="185">
        <f t="shared" si="13"/>
        <v>0</v>
      </c>
      <c r="AP36" s="185"/>
      <c r="AQ36" s="185">
        <f t="shared" si="14"/>
        <v>0</v>
      </c>
      <c r="AR36" s="185"/>
      <c r="AS36" s="185">
        <f t="shared" si="15"/>
        <v>0</v>
      </c>
      <c r="AT36" s="185"/>
      <c r="AU36" s="185">
        <f t="shared" si="21"/>
        <v>0</v>
      </c>
      <c r="AV36" s="185"/>
      <c r="AW36" s="185">
        <f t="shared" si="21"/>
        <v>0</v>
      </c>
      <c r="AX36" s="185"/>
      <c r="AY36" s="185">
        <f t="shared" si="21"/>
        <v>0</v>
      </c>
      <c r="AZ36" s="136"/>
      <c r="BA36" s="136"/>
      <c r="BJ36" s="221"/>
      <c r="BK36" s="221"/>
      <c r="BL36" s="221"/>
      <c r="BM36" s="221"/>
      <c r="BN36" s="221"/>
      <c r="BO36" s="221"/>
      <c r="BP36" s="221"/>
      <c r="BQ36" s="202"/>
      <c r="BR36" s="202"/>
      <c r="BS36" s="202"/>
      <c r="BT36" s="202"/>
      <c r="BU36" s="202"/>
      <c r="BV36" s="202"/>
      <c r="BW36" s="202"/>
      <c r="BX36" s="202"/>
      <c r="BY36" s="202"/>
      <c r="BZ36" s="202"/>
      <c r="CA36" s="202"/>
      <c r="CB36" s="202"/>
      <c r="CC36" s="202"/>
      <c r="CD36" s="202"/>
      <c r="CE36" s="202"/>
    </row>
    <row r="37" spans="1:83" s="151" customFormat="1" x14ac:dyDescent="0.35">
      <c r="A37" s="180">
        <f t="shared" si="20"/>
        <v>24</v>
      </c>
      <c r="B37" s="136"/>
      <c r="C37" s="178">
        <v>1</v>
      </c>
      <c r="D37" s="138"/>
      <c r="E37" s="135" t="s">
        <v>45</v>
      </c>
      <c r="F37" s="136"/>
      <c r="G37" s="136" t="s">
        <v>45</v>
      </c>
      <c r="H37" s="136"/>
      <c r="I37" s="135" t="s">
        <v>45</v>
      </c>
      <c r="J37" s="136"/>
      <c r="K37" s="143" t="s">
        <v>45</v>
      </c>
      <c r="L37" s="136"/>
      <c r="M37" s="135">
        <v>1</v>
      </c>
      <c r="N37" s="238">
        <f t="shared" si="19"/>
        <v>2023</v>
      </c>
      <c r="O37" s="242">
        <f>+$W$10-1+M37</f>
        <v>2024</v>
      </c>
      <c r="P37" s="136"/>
      <c r="Q37" s="176">
        <v>1</v>
      </c>
      <c r="R37" s="177"/>
      <c r="S37" s="178">
        <f t="shared" si="23"/>
        <v>1</v>
      </c>
      <c r="T37" s="178"/>
      <c r="U37" s="179">
        <f t="shared" si="24"/>
        <v>1</v>
      </c>
      <c r="V37" s="138"/>
      <c r="W37" s="185">
        <f t="shared" si="4"/>
        <v>1</v>
      </c>
      <c r="X37" s="185"/>
      <c r="Y37" s="185">
        <f t="shared" si="5"/>
        <v>0</v>
      </c>
      <c r="Z37" s="185"/>
      <c r="AA37" s="185">
        <f t="shared" si="6"/>
        <v>0</v>
      </c>
      <c r="AB37" s="185"/>
      <c r="AC37" s="185">
        <f t="shared" si="7"/>
        <v>0</v>
      </c>
      <c r="AD37" s="185"/>
      <c r="AE37" s="185">
        <f t="shared" si="8"/>
        <v>0</v>
      </c>
      <c r="AF37" s="185"/>
      <c r="AG37" s="185">
        <f t="shared" si="9"/>
        <v>0</v>
      </c>
      <c r="AH37" s="185"/>
      <c r="AI37" s="185">
        <f t="shared" si="10"/>
        <v>0</v>
      </c>
      <c r="AJ37" s="185"/>
      <c r="AK37" s="185">
        <f t="shared" si="11"/>
        <v>0</v>
      </c>
      <c r="AL37" s="185"/>
      <c r="AM37" s="185">
        <f t="shared" si="12"/>
        <v>0</v>
      </c>
      <c r="AN37" s="185"/>
      <c r="AO37" s="185">
        <f t="shared" si="13"/>
        <v>0</v>
      </c>
      <c r="AP37" s="185"/>
      <c r="AQ37" s="185">
        <f t="shared" si="14"/>
        <v>0</v>
      </c>
      <c r="AR37" s="185"/>
      <c r="AS37" s="185">
        <f t="shared" si="15"/>
        <v>0</v>
      </c>
      <c r="AT37" s="185"/>
      <c r="AU37" s="185">
        <f t="shared" si="21"/>
        <v>0</v>
      </c>
      <c r="AV37" s="185"/>
      <c r="AW37" s="185">
        <f t="shared" si="21"/>
        <v>0</v>
      </c>
      <c r="AX37" s="185"/>
      <c r="AY37" s="185">
        <f t="shared" si="21"/>
        <v>0</v>
      </c>
      <c r="AZ37" s="136"/>
      <c r="BA37" s="136"/>
      <c r="BJ37" s="221"/>
      <c r="BK37" s="221"/>
      <c r="BL37" s="221"/>
      <c r="BM37" s="221"/>
      <c r="BN37" s="221"/>
      <c r="BO37" s="221"/>
      <c r="BP37" s="221"/>
      <c r="BQ37" s="202"/>
      <c r="BR37" s="202"/>
      <c r="BS37" s="202"/>
      <c r="BT37" s="202"/>
      <c r="BU37" s="202"/>
      <c r="BV37" s="202"/>
      <c r="BW37" s="202"/>
      <c r="BX37" s="202"/>
      <c r="BY37" s="202"/>
      <c r="BZ37" s="202"/>
      <c r="CA37" s="202"/>
      <c r="CB37" s="202"/>
      <c r="CC37" s="202"/>
      <c r="CD37" s="202"/>
      <c r="CE37" s="202"/>
    </row>
    <row r="38" spans="1:83" s="151" customFormat="1" x14ac:dyDescent="0.35">
      <c r="A38" s="180"/>
      <c r="B38" s="136"/>
      <c r="C38" s="178"/>
      <c r="D38" s="138"/>
      <c r="E38" s="135"/>
      <c r="F38" s="136"/>
      <c r="G38" s="136"/>
      <c r="H38" s="136"/>
      <c r="I38" s="135"/>
      <c r="J38" s="136"/>
      <c r="K38" s="143"/>
      <c r="L38" s="136"/>
      <c r="M38" s="135"/>
      <c r="N38" s="136"/>
      <c r="O38" s="135"/>
      <c r="P38" s="136"/>
      <c r="Q38" s="176"/>
      <c r="R38" s="177"/>
      <c r="S38" s="178"/>
      <c r="T38" s="178"/>
      <c r="U38" s="179"/>
      <c r="V38" s="13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36"/>
      <c r="BA38" s="136"/>
      <c r="BJ38" s="221"/>
      <c r="BK38" s="221"/>
      <c r="BL38" s="221"/>
      <c r="BM38" s="221"/>
      <c r="BN38" s="221"/>
      <c r="BO38" s="221"/>
      <c r="BP38" s="221"/>
      <c r="BQ38" s="202"/>
      <c r="BR38" s="202"/>
      <c r="BS38" s="202"/>
      <c r="BT38" s="202"/>
      <c r="BU38" s="202"/>
      <c r="BV38" s="202"/>
      <c r="BW38" s="202"/>
      <c r="BX38" s="202"/>
      <c r="BY38" s="202"/>
      <c r="BZ38" s="202"/>
      <c r="CA38" s="202"/>
      <c r="CB38" s="202"/>
      <c r="CC38" s="202"/>
      <c r="CD38" s="202"/>
      <c r="CE38" s="202"/>
    </row>
    <row r="39" spans="1:83" x14ac:dyDescent="0.35">
      <c r="G39" s="144" t="s">
        <v>48</v>
      </c>
      <c r="K39" s="143"/>
      <c r="O39" s="135"/>
      <c r="Q39" s="226"/>
      <c r="R39" s="177"/>
      <c r="S39" s="178"/>
      <c r="T39" s="178"/>
      <c r="U39" s="179"/>
      <c r="V39" s="13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BJ39" s="178"/>
      <c r="BK39" s="178"/>
      <c r="BL39" s="178"/>
      <c r="BM39" s="178"/>
      <c r="BN39" s="178"/>
      <c r="BO39" s="178"/>
      <c r="BP39" s="178"/>
      <c r="BQ39" s="178"/>
      <c r="BR39" s="167"/>
      <c r="BS39" s="167"/>
      <c r="BT39" s="167"/>
      <c r="BU39" s="167"/>
      <c r="BV39" s="167"/>
      <c r="BW39" s="167"/>
      <c r="BX39" s="167"/>
      <c r="BY39" s="167"/>
      <c r="BZ39" s="167"/>
      <c r="CA39" s="167"/>
      <c r="CB39" s="167"/>
      <c r="CC39" s="167"/>
      <c r="CD39" s="167"/>
      <c r="CE39" s="167"/>
    </row>
    <row r="40" spans="1:83" x14ac:dyDescent="0.35">
      <c r="A40" s="168">
        <f>A37+1</f>
        <v>25</v>
      </c>
      <c r="B40" s="169"/>
      <c r="C40" s="174">
        <v>1</v>
      </c>
      <c r="D40" s="171"/>
      <c r="E40" s="168" t="s">
        <v>45</v>
      </c>
      <c r="F40" s="169"/>
      <c r="G40" s="169" t="s">
        <v>45</v>
      </c>
      <c r="H40" s="169"/>
      <c r="I40" s="168" t="s">
        <v>45</v>
      </c>
      <c r="J40" s="169"/>
      <c r="K40" s="225" t="s">
        <v>45</v>
      </c>
      <c r="L40" s="169"/>
      <c r="M40" s="168">
        <v>1</v>
      </c>
      <c r="N40" s="237">
        <f>'Roofs 1'!P4</f>
        <v>2023</v>
      </c>
      <c r="O40" s="168">
        <f>+$W$10-1+M40</f>
        <v>2024</v>
      </c>
      <c r="P40" s="169"/>
      <c r="Q40" s="227">
        <v>1</v>
      </c>
      <c r="R40" s="173"/>
      <c r="S40" s="174">
        <f>C40*Q40</f>
        <v>1</v>
      </c>
      <c r="T40" s="174"/>
      <c r="U40" s="175">
        <f>SUM(W40:AY40)+SUM(I90:AK90)</f>
        <v>47.575415706322005</v>
      </c>
      <c r="V40" s="171"/>
      <c r="W40" s="174">
        <f>S40</f>
        <v>1</v>
      </c>
      <c r="X40" s="174"/>
      <c r="Y40" s="174">
        <f>FV($U$6,W$9,,-$S40,0)</f>
        <v>1.03</v>
      </c>
      <c r="Z40" s="174"/>
      <c r="AA40" s="174">
        <f>FV($U$6,Y$9,,-$S40,0)</f>
        <v>1.0609</v>
      </c>
      <c r="AB40" s="174"/>
      <c r="AC40" s="174">
        <f>FV($U$6,AA$9,,-$S40,0)</f>
        <v>1.092727</v>
      </c>
      <c r="AD40" s="174"/>
      <c r="AE40" s="174">
        <f>FV($U$6,AC$9,,-$S40,0)</f>
        <v>1.1255088099999999</v>
      </c>
      <c r="AF40" s="174"/>
      <c r="AG40" s="174">
        <f>FV($U$6,AE$9,,-$S40,0)</f>
        <v>1.1592740742999998</v>
      </c>
      <c r="AH40" s="174"/>
      <c r="AI40" s="174">
        <f>FV($U$6,AG$9,,-$S40,0)</f>
        <v>1.1940522965289999</v>
      </c>
      <c r="AJ40" s="174"/>
      <c r="AK40" s="174">
        <f>FV($U$6,AI$9,,-$S40,0)</f>
        <v>1.22987386542487</v>
      </c>
      <c r="AL40" s="174"/>
      <c r="AM40" s="174">
        <f>FV($U$6,AK$9,,-$S40,0)</f>
        <v>1.2667700813876159</v>
      </c>
      <c r="AN40" s="174"/>
      <c r="AO40" s="174">
        <f>FV($U$6,AM$9,,-$S40,0)</f>
        <v>1.3047731838292445</v>
      </c>
      <c r="AP40" s="174"/>
      <c r="AQ40" s="174">
        <f>FV($U$6,AO$9,,-$S40,0)</f>
        <v>1.3439163793441218</v>
      </c>
      <c r="AR40" s="174"/>
      <c r="AS40" s="174">
        <f>FV($U$6,AQ$9,,-$S40,0)</f>
        <v>1.3842338707244455</v>
      </c>
      <c r="AT40" s="174"/>
      <c r="AU40" s="174">
        <f>FV($U$6,AS$9,,-$S40,0)</f>
        <v>1.4257608868461786</v>
      </c>
      <c r="AV40" s="174"/>
      <c r="AW40" s="174">
        <f>FV($U$6,AU$9,,-$S40,0)</f>
        <v>1.4685337134515639</v>
      </c>
      <c r="AX40" s="174"/>
      <c r="AY40" s="174">
        <f>FV($U$6,AW$9,,-$S40,0)</f>
        <v>1.512589724855111</v>
      </c>
      <c r="AZ40" s="185"/>
      <c r="BA40" s="181"/>
      <c r="BJ40" s="178"/>
      <c r="BK40" s="178"/>
      <c r="BL40" s="178"/>
      <c r="BM40" s="178"/>
      <c r="BN40" s="178"/>
      <c r="BO40" s="178"/>
      <c r="BP40" s="178"/>
      <c r="BQ40" s="178"/>
      <c r="BR40" s="167"/>
      <c r="BS40" s="167"/>
      <c r="BT40" s="167"/>
      <c r="BU40" s="167"/>
      <c r="BV40" s="167"/>
      <c r="BW40" s="167"/>
      <c r="BX40" s="167"/>
      <c r="BY40" s="167"/>
      <c r="BZ40" s="167"/>
      <c r="CA40" s="167"/>
      <c r="CB40" s="167"/>
      <c r="CC40" s="167"/>
      <c r="CD40" s="167"/>
      <c r="CE40" s="167"/>
    </row>
    <row r="41" spans="1:83" x14ac:dyDescent="0.35">
      <c r="A41" s="168">
        <f t="shared" si="20"/>
        <v>26</v>
      </c>
      <c r="B41" s="169"/>
      <c r="C41" s="174">
        <v>1</v>
      </c>
      <c r="D41" s="171"/>
      <c r="E41" s="168" t="s">
        <v>45</v>
      </c>
      <c r="F41" s="169"/>
      <c r="G41" s="169" t="s">
        <v>45</v>
      </c>
      <c r="H41" s="169"/>
      <c r="I41" s="168" t="s">
        <v>45</v>
      </c>
      <c r="J41" s="169"/>
      <c r="K41" s="225" t="s">
        <v>45</v>
      </c>
      <c r="L41" s="169"/>
      <c r="M41" s="168">
        <v>1</v>
      </c>
      <c r="N41" s="237">
        <f>N40</f>
        <v>2023</v>
      </c>
      <c r="O41" s="168">
        <f>+$W$10-1+M41</f>
        <v>2024</v>
      </c>
      <c r="P41" s="169"/>
      <c r="Q41" s="227">
        <v>1</v>
      </c>
      <c r="R41" s="173"/>
      <c r="S41" s="174">
        <f>C41*Q41</f>
        <v>1</v>
      </c>
      <c r="T41" s="174"/>
      <c r="U41" s="175">
        <f>SUM(W41:AY41)+SUM(I91:AK91)</f>
        <v>47.575415706322005</v>
      </c>
      <c r="V41" s="171"/>
      <c r="W41" s="174">
        <f>S41</f>
        <v>1</v>
      </c>
      <c r="X41" s="174"/>
      <c r="Y41" s="174">
        <f>FV($U$6,W$9,,-$S41,0)</f>
        <v>1.03</v>
      </c>
      <c r="Z41" s="174"/>
      <c r="AA41" s="174">
        <f>FV($U$6,Y$9,,-$S41,0)</f>
        <v>1.0609</v>
      </c>
      <c r="AB41" s="174"/>
      <c r="AC41" s="174">
        <f>FV($U$6,AA$9,,-$S41,0)</f>
        <v>1.092727</v>
      </c>
      <c r="AD41" s="174"/>
      <c r="AE41" s="174">
        <f>FV($U$6,AC$9,,-$S41,0)</f>
        <v>1.1255088099999999</v>
      </c>
      <c r="AF41" s="174"/>
      <c r="AG41" s="174">
        <f>FV($U$6,AE$9,,-$S41,0)</f>
        <v>1.1592740742999998</v>
      </c>
      <c r="AH41" s="174"/>
      <c r="AI41" s="174">
        <f>FV($U$6,AG$9,,-$S41,0)</f>
        <v>1.1940522965289999</v>
      </c>
      <c r="AJ41" s="174"/>
      <c r="AK41" s="174">
        <f>FV($U$6,AI$9,,-$S41,0)</f>
        <v>1.22987386542487</v>
      </c>
      <c r="AL41" s="174"/>
      <c r="AM41" s="174">
        <f>FV($U$6,AK$9,,-$S41,0)</f>
        <v>1.2667700813876159</v>
      </c>
      <c r="AN41" s="174"/>
      <c r="AO41" s="174">
        <f>FV($U$6,AM$9,,-$S41,0)</f>
        <v>1.3047731838292445</v>
      </c>
      <c r="AP41" s="174"/>
      <c r="AQ41" s="174">
        <f>FV($U$6,AO$9,,-$S41,0)</f>
        <v>1.3439163793441218</v>
      </c>
      <c r="AR41" s="174"/>
      <c r="AS41" s="174">
        <f>FV($U$6,AQ$9,,-$S41,0)</f>
        <v>1.3842338707244455</v>
      </c>
      <c r="AT41" s="174"/>
      <c r="AU41" s="174">
        <f>FV($U$6,AS$9,,-$S41,0)</f>
        <v>1.4257608868461786</v>
      </c>
      <c r="AV41" s="174"/>
      <c r="AW41" s="174">
        <f>FV($U$6,AU$9,,-$S41,0)</f>
        <v>1.4685337134515639</v>
      </c>
      <c r="AX41" s="174"/>
      <c r="AY41" s="174">
        <f>FV($U$6,AW$9,,-$S41,0)</f>
        <v>1.512589724855111</v>
      </c>
      <c r="AZ41" s="185"/>
      <c r="BA41" s="181"/>
      <c r="BJ41" s="178"/>
      <c r="BK41" s="178"/>
      <c r="BL41" s="178"/>
      <c r="BM41" s="178"/>
      <c r="BN41" s="178"/>
      <c r="BO41" s="178"/>
      <c r="BP41" s="178"/>
      <c r="BQ41" s="178"/>
      <c r="BR41" s="167"/>
      <c r="BS41" s="167"/>
      <c r="BT41" s="167"/>
      <c r="BU41" s="167"/>
      <c r="BV41" s="167"/>
      <c r="BW41" s="167"/>
      <c r="BX41" s="167"/>
      <c r="BY41" s="167"/>
      <c r="BZ41" s="167"/>
      <c r="CA41" s="167"/>
      <c r="CB41" s="167"/>
      <c r="CC41" s="167"/>
      <c r="CD41" s="167"/>
      <c r="CE41" s="167"/>
    </row>
    <row r="42" spans="1:83" x14ac:dyDescent="0.35">
      <c r="A42" s="168">
        <f t="shared" si="20"/>
        <v>27</v>
      </c>
      <c r="B42" s="169"/>
      <c r="C42" s="174">
        <v>1</v>
      </c>
      <c r="D42" s="171"/>
      <c r="E42" s="168" t="s">
        <v>45</v>
      </c>
      <c r="F42" s="169"/>
      <c r="G42" s="169" t="s">
        <v>45</v>
      </c>
      <c r="H42" s="169"/>
      <c r="I42" s="168" t="s">
        <v>45</v>
      </c>
      <c r="J42" s="169"/>
      <c r="K42" s="225" t="s">
        <v>45</v>
      </c>
      <c r="L42" s="169"/>
      <c r="M42" s="168">
        <v>1</v>
      </c>
      <c r="N42" s="237">
        <f>N41</f>
        <v>2023</v>
      </c>
      <c r="O42" s="168">
        <f>+$W$10-1+M42</f>
        <v>2024</v>
      </c>
      <c r="P42" s="169"/>
      <c r="Q42" s="227">
        <v>1</v>
      </c>
      <c r="R42" s="173"/>
      <c r="S42" s="174">
        <f>C42*Q42</f>
        <v>1</v>
      </c>
      <c r="T42" s="174"/>
      <c r="U42" s="175">
        <f>SUM(W42:AY42)+SUM(I92:AK92)</f>
        <v>47.575415706322005</v>
      </c>
      <c r="V42" s="171"/>
      <c r="W42" s="174">
        <f>S42</f>
        <v>1</v>
      </c>
      <c r="X42" s="174"/>
      <c r="Y42" s="174">
        <f>FV($U$6,W$9,,-$S42,0)</f>
        <v>1.03</v>
      </c>
      <c r="Z42" s="174"/>
      <c r="AA42" s="174">
        <f>FV($U$6,Y$9,,-$S42,0)</f>
        <v>1.0609</v>
      </c>
      <c r="AB42" s="174"/>
      <c r="AC42" s="174">
        <f>FV($U$6,AA$9,,-$S42,0)</f>
        <v>1.092727</v>
      </c>
      <c r="AD42" s="174"/>
      <c r="AE42" s="174">
        <f>FV($U$6,AC$9,,-$S42,0)</f>
        <v>1.1255088099999999</v>
      </c>
      <c r="AF42" s="174"/>
      <c r="AG42" s="174">
        <f>FV($U$6,AE$9,,-$S42,0)</f>
        <v>1.1592740742999998</v>
      </c>
      <c r="AH42" s="174"/>
      <c r="AI42" s="174">
        <f>FV($U$6,AG$9,,-$S42,0)</f>
        <v>1.1940522965289999</v>
      </c>
      <c r="AJ42" s="174"/>
      <c r="AK42" s="174">
        <f>FV($U$6,AI$9,,-$S42,0)</f>
        <v>1.22987386542487</v>
      </c>
      <c r="AL42" s="174"/>
      <c r="AM42" s="174">
        <f>FV($U$6,AK$9,,-$S42,0)</f>
        <v>1.2667700813876159</v>
      </c>
      <c r="AN42" s="174"/>
      <c r="AO42" s="174">
        <f>FV($U$6,AM$9,,-$S42,0)</f>
        <v>1.3047731838292445</v>
      </c>
      <c r="AP42" s="174"/>
      <c r="AQ42" s="174">
        <f>FV($U$6,AO$9,,-$S42,0)</f>
        <v>1.3439163793441218</v>
      </c>
      <c r="AR42" s="174"/>
      <c r="AS42" s="174">
        <f>FV($U$6,AQ$9,,-$S42,0)</f>
        <v>1.3842338707244455</v>
      </c>
      <c r="AT42" s="174"/>
      <c r="AU42" s="174">
        <f>FV($U$6,AS$9,,-$S42,0)</f>
        <v>1.4257608868461786</v>
      </c>
      <c r="AV42" s="174"/>
      <c r="AW42" s="174">
        <f>FV($U$6,AU$9,,-$S42,0)</f>
        <v>1.4685337134515639</v>
      </c>
      <c r="AX42" s="174"/>
      <c r="AY42" s="174">
        <f>FV($U$6,AW$9,,-$S42,0)</f>
        <v>1.512589724855111</v>
      </c>
      <c r="AZ42" s="185"/>
      <c r="BA42" s="181"/>
      <c r="BJ42" s="178"/>
      <c r="BK42" s="178"/>
      <c r="BL42" s="178"/>
      <c r="BM42" s="178"/>
      <c r="BN42" s="178"/>
      <c r="BO42" s="178"/>
      <c r="BP42" s="178"/>
      <c r="BQ42" s="178"/>
      <c r="BR42" s="167"/>
      <c r="BS42" s="167"/>
      <c r="BT42" s="167"/>
      <c r="BU42" s="167"/>
      <c r="BV42" s="167"/>
      <c r="BW42" s="167"/>
      <c r="BX42" s="167"/>
      <c r="BY42" s="167"/>
      <c r="BZ42" s="167"/>
      <c r="CA42" s="167"/>
      <c r="CB42" s="167"/>
      <c r="CC42" s="167"/>
      <c r="CD42" s="167"/>
      <c r="CE42" s="167"/>
    </row>
    <row r="43" spans="1:83" x14ac:dyDescent="0.35">
      <c r="A43" s="180">
        <f>A42+1</f>
        <v>28</v>
      </c>
      <c r="B43" s="181"/>
      <c r="C43" s="185">
        <v>1</v>
      </c>
      <c r="D43" s="183"/>
      <c r="E43" s="180" t="s">
        <v>45</v>
      </c>
      <c r="F43" s="181"/>
      <c r="G43" s="181" t="s">
        <v>45</v>
      </c>
      <c r="H43" s="181"/>
      <c r="I43" s="135" t="s">
        <v>45</v>
      </c>
      <c r="K43" s="143" t="s">
        <v>45</v>
      </c>
      <c r="M43" s="135">
        <v>1</v>
      </c>
      <c r="N43" s="238">
        <f>N42</f>
        <v>2023</v>
      </c>
      <c r="O43" s="243">
        <f t="shared" ref="O43:O51" si="25">+$W$10-1+M43</f>
        <v>2024</v>
      </c>
      <c r="Q43" s="226">
        <v>1</v>
      </c>
      <c r="R43" s="177"/>
      <c r="S43" s="178">
        <f t="shared" ref="S43:S51" si="26">C43*Q43</f>
        <v>1</v>
      </c>
      <c r="T43" s="178"/>
      <c r="U43" s="179">
        <f t="shared" ref="U43:U48" si="27">SUM(W43:AY43)+SUM(I93:AK93)</f>
        <v>47.575415706322005</v>
      </c>
      <c r="V43" s="183"/>
      <c r="W43" s="185">
        <f t="shared" ref="W43:W54" si="28">S43</f>
        <v>1</v>
      </c>
      <c r="X43" s="185"/>
      <c r="Y43" s="185">
        <f t="shared" ref="Y43:Y54" si="29">FV($U$6,W$9,,-$S43,0)</f>
        <v>1.03</v>
      </c>
      <c r="Z43" s="185"/>
      <c r="AA43" s="185">
        <f>FV($U$6,Y$9,,-$S43,0)</f>
        <v>1.0609</v>
      </c>
      <c r="AB43" s="185"/>
      <c r="AC43" s="185">
        <f>FV($U$6,AA$9,,-$S43,0)</f>
        <v>1.092727</v>
      </c>
      <c r="AD43" s="185"/>
      <c r="AE43" s="185">
        <f t="shared" ref="AE43:AE54" si="30">FV($U$6,AC$9,,-$S43,0)</f>
        <v>1.1255088099999999</v>
      </c>
      <c r="AF43" s="185"/>
      <c r="AG43" s="185">
        <f t="shared" ref="AG43:AG54" si="31">FV($U$6,AE$9,,-$S43,0)</f>
        <v>1.1592740742999998</v>
      </c>
      <c r="AH43" s="185"/>
      <c r="AI43" s="185">
        <f t="shared" ref="AI43:AI54" si="32">FV($U$6,AG$9,,-$S43,0)</f>
        <v>1.1940522965289999</v>
      </c>
      <c r="AJ43" s="185"/>
      <c r="AK43" s="185">
        <f t="shared" ref="AK43:AK54" si="33">FV($U$6,AI$9,,-$S43,0)</f>
        <v>1.22987386542487</v>
      </c>
      <c r="AL43" s="185"/>
      <c r="AM43" s="185">
        <f t="shared" ref="AM43:AM54" si="34">FV($U$6,AK$9,,-$S43,0)</f>
        <v>1.2667700813876159</v>
      </c>
      <c r="AN43" s="185"/>
      <c r="AO43" s="185">
        <f t="shared" ref="AO43:AO54" si="35">FV($U$6,AM$9,,-$S43,0)</f>
        <v>1.3047731838292445</v>
      </c>
      <c r="AP43" s="185"/>
      <c r="AQ43" s="185">
        <f t="shared" ref="AQ43:AQ54" si="36">FV($U$6,AO$9,,-$S43,0)</f>
        <v>1.3439163793441218</v>
      </c>
      <c r="AR43" s="185"/>
      <c r="AS43" s="185">
        <f t="shared" ref="AS43:AS54" si="37">FV($U$6,AQ$9,,-$S43,0)</f>
        <v>1.3842338707244455</v>
      </c>
      <c r="AT43" s="185"/>
      <c r="AU43" s="185">
        <f t="shared" ref="AU43:AU54" si="38">FV($U$6,AS$9,,-$S43,0)</f>
        <v>1.4257608868461786</v>
      </c>
      <c r="AV43" s="185"/>
      <c r="AW43" s="185">
        <f t="shared" ref="AW43:AW54" si="39">FV($U$6,AU$9,,-$S43,0)</f>
        <v>1.4685337134515639</v>
      </c>
      <c r="AX43" s="185"/>
      <c r="AY43" s="185">
        <f t="shared" ref="AY43:AY54" si="40">FV($U$6,AW$9,,-$S43,0)</f>
        <v>1.512589724855111</v>
      </c>
      <c r="AZ43" s="185"/>
      <c r="BA43" s="181"/>
      <c r="BJ43" s="178"/>
      <c r="BK43" s="178"/>
      <c r="BL43" s="178"/>
      <c r="BM43" s="178"/>
      <c r="BN43" s="178"/>
      <c r="BO43" s="178"/>
      <c r="BP43" s="178"/>
      <c r="BQ43" s="178"/>
      <c r="BR43" s="167"/>
      <c r="BS43" s="167"/>
      <c r="BT43" s="167"/>
      <c r="BU43" s="167"/>
      <c r="BV43" s="167"/>
      <c r="BW43" s="167"/>
      <c r="BX43" s="167"/>
      <c r="BY43" s="167"/>
      <c r="BZ43" s="167"/>
      <c r="CA43" s="167"/>
      <c r="CB43" s="167"/>
      <c r="CC43" s="167"/>
      <c r="CD43" s="167"/>
      <c r="CE43" s="167"/>
    </row>
    <row r="44" spans="1:83" x14ac:dyDescent="0.35">
      <c r="A44" s="180">
        <f t="shared" si="20"/>
        <v>29</v>
      </c>
      <c r="B44" s="181"/>
      <c r="C44" s="185">
        <v>1</v>
      </c>
      <c r="D44" s="183"/>
      <c r="E44" s="180" t="s">
        <v>45</v>
      </c>
      <c r="F44" s="181"/>
      <c r="G44" s="181" t="s">
        <v>45</v>
      </c>
      <c r="H44" s="181"/>
      <c r="I44" s="135" t="s">
        <v>45</v>
      </c>
      <c r="K44" s="143" t="s">
        <v>45</v>
      </c>
      <c r="M44" s="135">
        <v>1</v>
      </c>
      <c r="N44" s="238">
        <f t="shared" ref="N44:N52" si="41">N43</f>
        <v>2023</v>
      </c>
      <c r="O44" s="243">
        <f t="shared" si="25"/>
        <v>2024</v>
      </c>
      <c r="Q44" s="226">
        <v>1</v>
      </c>
      <c r="R44" s="177"/>
      <c r="S44" s="178">
        <f t="shared" si="26"/>
        <v>1</v>
      </c>
      <c r="T44" s="178"/>
      <c r="U44" s="179">
        <f t="shared" si="27"/>
        <v>47.575415706322005</v>
      </c>
      <c r="V44" s="183"/>
      <c r="W44" s="185">
        <f t="shared" si="28"/>
        <v>1</v>
      </c>
      <c r="X44" s="185"/>
      <c r="Y44" s="185">
        <f t="shared" si="29"/>
        <v>1.03</v>
      </c>
      <c r="Z44" s="185"/>
      <c r="AA44" s="185">
        <f t="shared" ref="AA44:AA54" si="42">FV($U$6,Y$9,,-$S44,0)</f>
        <v>1.0609</v>
      </c>
      <c r="AB44" s="185"/>
      <c r="AC44" s="185">
        <f t="shared" ref="AC44:AC54" si="43">FV($U$6,AA$9,,-$S44,0)</f>
        <v>1.092727</v>
      </c>
      <c r="AD44" s="185"/>
      <c r="AE44" s="185">
        <f t="shared" si="30"/>
        <v>1.1255088099999999</v>
      </c>
      <c r="AF44" s="185"/>
      <c r="AG44" s="185">
        <f t="shared" si="31"/>
        <v>1.1592740742999998</v>
      </c>
      <c r="AH44" s="185"/>
      <c r="AI44" s="185">
        <f t="shared" si="32"/>
        <v>1.1940522965289999</v>
      </c>
      <c r="AJ44" s="185"/>
      <c r="AK44" s="185">
        <f t="shared" si="33"/>
        <v>1.22987386542487</v>
      </c>
      <c r="AL44" s="185"/>
      <c r="AM44" s="185">
        <f t="shared" si="34"/>
        <v>1.2667700813876159</v>
      </c>
      <c r="AN44" s="185"/>
      <c r="AO44" s="185">
        <f t="shared" si="35"/>
        <v>1.3047731838292445</v>
      </c>
      <c r="AP44" s="185"/>
      <c r="AQ44" s="185">
        <f t="shared" si="36"/>
        <v>1.3439163793441218</v>
      </c>
      <c r="AR44" s="185"/>
      <c r="AS44" s="185">
        <f t="shared" si="37"/>
        <v>1.3842338707244455</v>
      </c>
      <c r="AT44" s="185"/>
      <c r="AU44" s="185">
        <f t="shared" si="38"/>
        <v>1.4257608868461786</v>
      </c>
      <c r="AV44" s="185"/>
      <c r="AW44" s="185">
        <f t="shared" si="39"/>
        <v>1.4685337134515639</v>
      </c>
      <c r="AX44" s="185"/>
      <c r="AY44" s="185">
        <f t="shared" si="40"/>
        <v>1.512589724855111</v>
      </c>
      <c r="AZ44" s="185"/>
      <c r="BA44" s="181"/>
      <c r="BJ44" s="178"/>
      <c r="BK44" s="178"/>
      <c r="BL44" s="178"/>
      <c r="BM44" s="178"/>
      <c r="BN44" s="178"/>
      <c r="BO44" s="178"/>
      <c r="BP44" s="178"/>
      <c r="BQ44" s="178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7"/>
      <c r="CD44" s="167"/>
      <c r="CE44" s="167"/>
    </row>
    <row r="45" spans="1:83" x14ac:dyDescent="0.35">
      <c r="A45" s="180">
        <f t="shared" si="20"/>
        <v>30</v>
      </c>
      <c r="B45" s="181"/>
      <c r="C45" s="185">
        <v>1</v>
      </c>
      <c r="D45" s="183"/>
      <c r="E45" s="180" t="s">
        <v>45</v>
      </c>
      <c r="F45" s="181"/>
      <c r="G45" s="181" t="s">
        <v>45</v>
      </c>
      <c r="H45" s="181"/>
      <c r="I45" s="135" t="s">
        <v>45</v>
      </c>
      <c r="K45" s="143" t="s">
        <v>45</v>
      </c>
      <c r="M45" s="135">
        <v>1</v>
      </c>
      <c r="N45" s="238">
        <f t="shared" si="41"/>
        <v>2023</v>
      </c>
      <c r="O45" s="243">
        <f t="shared" si="25"/>
        <v>2024</v>
      </c>
      <c r="Q45" s="226">
        <v>1</v>
      </c>
      <c r="R45" s="177"/>
      <c r="S45" s="178">
        <f t="shared" si="26"/>
        <v>1</v>
      </c>
      <c r="T45" s="178"/>
      <c r="U45" s="179">
        <f t="shared" si="27"/>
        <v>47.575415706322005</v>
      </c>
      <c r="V45" s="183"/>
      <c r="W45" s="185">
        <f t="shared" si="28"/>
        <v>1</v>
      </c>
      <c r="X45" s="185"/>
      <c r="Y45" s="185">
        <f t="shared" si="29"/>
        <v>1.03</v>
      </c>
      <c r="Z45" s="185"/>
      <c r="AA45" s="185">
        <f t="shared" si="42"/>
        <v>1.0609</v>
      </c>
      <c r="AB45" s="185"/>
      <c r="AC45" s="185">
        <f t="shared" si="43"/>
        <v>1.092727</v>
      </c>
      <c r="AD45" s="185"/>
      <c r="AE45" s="185">
        <f t="shared" si="30"/>
        <v>1.1255088099999999</v>
      </c>
      <c r="AF45" s="185"/>
      <c r="AG45" s="185">
        <f t="shared" si="31"/>
        <v>1.1592740742999998</v>
      </c>
      <c r="AH45" s="185"/>
      <c r="AI45" s="185">
        <f t="shared" si="32"/>
        <v>1.1940522965289999</v>
      </c>
      <c r="AJ45" s="185"/>
      <c r="AK45" s="185">
        <f t="shared" si="33"/>
        <v>1.22987386542487</v>
      </c>
      <c r="AL45" s="185"/>
      <c r="AM45" s="185">
        <f t="shared" si="34"/>
        <v>1.2667700813876159</v>
      </c>
      <c r="AN45" s="185"/>
      <c r="AO45" s="185">
        <f t="shared" si="35"/>
        <v>1.3047731838292445</v>
      </c>
      <c r="AP45" s="185"/>
      <c r="AQ45" s="185">
        <f t="shared" si="36"/>
        <v>1.3439163793441218</v>
      </c>
      <c r="AR45" s="185"/>
      <c r="AS45" s="185">
        <f t="shared" si="37"/>
        <v>1.3842338707244455</v>
      </c>
      <c r="AT45" s="185"/>
      <c r="AU45" s="185">
        <f t="shared" si="38"/>
        <v>1.4257608868461786</v>
      </c>
      <c r="AV45" s="185"/>
      <c r="AW45" s="185">
        <f t="shared" si="39"/>
        <v>1.4685337134515639</v>
      </c>
      <c r="AX45" s="185"/>
      <c r="AY45" s="185">
        <f t="shared" si="40"/>
        <v>1.512589724855111</v>
      </c>
      <c r="AZ45" s="185"/>
      <c r="BA45" s="181"/>
      <c r="BJ45" s="178"/>
      <c r="BK45" s="178"/>
      <c r="BL45" s="178"/>
      <c r="BM45" s="178"/>
      <c r="BN45" s="178"/>
      <c r="BO45" s="178"/>
      <c r="BP45" s="178"/>
      <c r="BQ45" s="178"/>
      <c r="BR45" s="167"/>
      <c r="BS45" s="167"/>
      <c r="BT45" s="167"/>
      <c r="BU45" s="167"/>
      <c r="BV45" s="167"/>
      <c r="BW45" s="167"/>
      <c r="BX45" s="167"/>
      <c r="BY45" s="167"/>
      <c r="BZ45" s="167"/>
      <c r="CA45" s="167"/>
      <c r="CB45" s="167"/>
      <c r="CC45" s="167"/>
      <c r="CD45" s="167"/>
      <c r="CE45" s="167"/>
    </row>
    <row r="46" spans="1:83" x14ac:dyDescent="0.35">
      <c r="A46" s="168">
        <f>A45+1</f>
        <v>31</v>
      </c>
      <c r="B46" s="169"/>
      <c r="C46" s="174">
        <v>1</v>
      </c>
      <c r="D46" s="171"/>
      <c r="E46" s="168" t="s">
        <v>45</v>
      </c>
      <c r="F46" s="169"/>
      <c r="G46" s="169" t="s">
        <v>45</v>
      </c>
      <c r="H46" s="169"/>
      <c r="I46" s="168" t="s">
        <v>45</v>
      </c>
      <c r="J46" s="169"/>
      <c r="K46" s="225" t="s">
        <v>45</v>
      </c>
      <c r="L46" s="169"/>
      <c r="M46" s="168">
        <v>1</v>
      </c>
      <c r="N46" s="237">
        <f t="shared" si="41"/>
        <v>2023</v>
      </c>
      <c r="O46" s="244">
        <f t="shared" si="25"/>
        <v>2024</v>
      </c>
      <c r="P46" s="169"/>
      <c r="Q46" s="227">
        <v>1</v>
      </c>
      <c r="R46" s="173"/>
      <c r="S46" s="174">
        <f t="shared" si="26"/>
        <v>1</v>
      </c>
      <c r="T46" s="174"/>
      <c r="U46" s="175">
        <f t="shared" si="27"/>
        <v>47.575415706322005</v>
      </c>
      <c r="V46" s="171"/>
      <c r="W46" s="174">
        <f t="shared" si="28"/>
        <v>1</v>
      </c>
      <c r="X46" s="174"/>
      <c r="Y46" s="174">
        <f t="shared" si="29"/>
        <v>1.03</v>
      </c>
      <c r="Z46" s="174"/>
      <c r="AA46" s="174">
        <f t="shared" si="42"/>
        <v>1.0609</v>
      </c>
      <c r="AB46" s="174"/>
      <c r="AC46" s="174">
        <f t="shared" si="43"/>
        <v>1.092727</v>
      </c>
      <c r="AD46" s="174"/>
      <c r="AE46" s="174">
        <f t="shared" si="30"/>
        <v>1.1255088099999999</v>
      </c>
      <c r="AF46" s="174"/>
      <c r="AG46" s="174">
        <f t="shared" si="31"/>
        <v>1.1592740742999998</v>
      </c>
      <c r="AH46" s="174"/>
      <c r="AI46" s="174">
        <f t="shared" si="32"/>
        <v>1.1940522965289999</v>
      </c>
      <c r="AJ46" s="174"/>
      <c r="AK46" s="174">
        <f t="shared" si="33"/>
        <v>1.22987386542487</v>
      </c>
      <c r="AL46" s="174"/>
      <c r="AM46" s="174">
        <f t="shared" si="34"/>
        <v>1.2667700813876159</v>
      </c>
      <c r="AN46" s="174"/>
      <c r="AO46" s="174">
        <f t="shared" si="35"/>
        <v>1.3047731838292445</v>
      </c>
      <c r="AP46" s="174"/>
      <c r="AQ46" s="174">
        <f t="shared" si="36"/>
        <v>1.3439163793441218</v>
      </c>
      <c r="AR46" s="174"/>
      <c r="AS46" s="174">
        <f t="shared" si="37"/>
        <v>1.3842338707244455</v>
      </c>
      <c r="AT46" s="174"/>
      <c r="AU46" s="174">
        <f t="shared" si="38"/>
        <v>1.4257608868461786</v>
      </c>
      <c r="AV46" s="174"/>
      <c r="AW46" s="174">
        <f t="shared" si="39"/>
        <v>1.4685337134515639</v>
      </c>
      <c r="AX46" s="174"/>
      <c r="AY46" s="174">
        <f t="shared" si="40"/>
        <v>1.512589724855111</v>
      </c>
      <c r="AZ46" s="185"/>
      <c r="BA46" s="181"/>
      <c r="BJ46" s="178"/>
      <c r="BK46" s="178"/>
      <c r="BL46" s="178"/>
      <c r="BM46" s="178"/>
      <c r="BN46" s="178"/>
      <c r="BO46" s="178"/>
      <c r="BP46" s="178"/>
      <c r="BQ46" s="178"/>
      <c r="BR46" s="167"/>
      <c r="BS46" s="167"/>
      <c r="BT46" s="167"/>
      <c r="BU46" s="167"/>
      <c r="BV46" s="167"/>
      <c r="BW46" s="167"/>
      <c r="BX46" s="167"/>
      <c r="BY46" s="167"/>
      <c r="BZ46" s="167"/>
      <c r="CA46" s="167"/>
      <c r="CB46" s="167"/>
      <c r="CC46" s="167"/>
      <c r="CD46" s="167"/>
      <c r="CE46" s="167"/>
    </row>
    <row r="47" spans="1:83" x14ac:dyDescent="0.35">
      <c r="A47" s="168">
        <f t="shared" si="20"/>
        <v>32</v>
      </c>
      <c r="B47" s="169"/>
      <c r="C47" s="174">
        <v>1</v>
      </c>
      <c r="D47" s="171"/>
      <c r="E47" s="168" t="s">
        <v>45</v>
      </c>
      <c r="F47" s="169"/>
      <c r="G47" s="169" t="s">
        <v>45</v>
      </c>
      <c r="H47" s="169"/>
      <c r="I47" s="168" t="s">
        <v>45</v>
      </c>
      <c r="J47" s="169"/>
      <c r="K47" s="225" t="s">
        <v>45</v>
      </c>
      <c r="L47" s="169"/>
      <c r="M47" s="168">
        <v>1</v>
      </c>
      <c r="N47" s="237">
        <f>N46</f>
        <v>2023</v>
      </c>
      <c r="O47" s="244">
        <f t="shared" si="25"/>
        <v>2024</v>
      </c>
      <c r="P47" s="169"/>
      <c r="Q47" s="227">
        <v>1</v>
      </c>
      <c r="R47" s="173"/>
      <c r="S47" s="174">
        <f t="shared" si="26"/>
        <v>1</v>
      </c>
      <c r="T47" s="174"/>
      <c r="U47" s="175">
        <f t="shared" si="27"/>
        <v>47.575415706322005</v>
      </c>
      <c r="V47" s="171"/>
      <c r="W47" s="174">
        <f t="shared" si="28"/>
        <v>1</v>
      </c>
      <c r="X47" s="174"/>
      <c r="Y47" s="174">
        <f t="shared" si="29"/>
        <v>1.03</v>
      </c>
      <c r="Z47" s="174"/>
      <c r="AA47" s="174">
        <f t="shared" si="42"/>
        <v>1.0609</v>
      </c>
      <c r="AB47" s="174"/>
      <c r="AC47" s="174">
        <f t="shared" si="43"/>
        <v>1.092727</v>
      </c>
      <c r="AD47" s="174"/>
      <c r="AE47" s="174">
        <f t="shared" si="30"/>
        <v>1.1255088099999999</v>
      </c>
      <c r="AF47" s="174"/>
      <c r="AG47" s="174">
        <f t="shared" si="31"/>
        <v>1.1592740742999998</v>
      </c>
      <c r="AH47" s="174"/>
      <c r="AI47" s="174">
        <f t="shared" si="32"/>
        <v>1.1940522965289999</v>
      </c>
      <c r="AJ47" s="174"/>
      <c r="AK47" s="174">
        <f t="shared" si="33"/>
        <v>1.22987386542487</v>
      </c>
      <c r="AL47" s="174"/>
      <c r="AM47" s="174">
        <f t="shared" si="34"/>
        <v>1.2667700813876159</v>
      </c>
      <c r="AN47" s="174"/>
      <c r="AO47" s="174">
        <f t="shared" si="35"/>
        <v>1.3047731838292445</v>
      </c>
      <c r="AP47" s="174"/>
      <c r="AQ47" s="174">
        <f t="shared" si="36"/>
        <v>1.3439163793441218</v>
      </c>
      <c r="AR47" s="174"/>
      <c r="AS47" s="174">
        <f t="shared" si="37"/>
        <v>1.3842338707244455</v>
      </c>
      <c r="AT47" s="174"/>
      <c r="AU47" s="174">
        <f t="shared" si="38"/>
        <v>1.4257608868461786</v>
      </c>
      <c r="AV47" s="174"/>
      <c r="AW47" s="174">
        <f t="shared" si="39"/>
        <v>1.4685337134515639</v>
      </c>
      <c r="AX47" s="174"/>
      <c r="AY47" s="174">
        <f t="shared" si="40"/>
        <v>1.512589724855111</v>
      </c>
      <c r="AZ47" s="185"/>
      <c r="BA47" s="181"/>
      <c r="BJ47" s="178"/>
      <c r="BK47" s="178"/>
      <c r="BL47" s="178"/>
      <c r="BM47" s="178"/>
      <c r="BN47" s="178"/>
      <c r="BO47" s="178"/>
      <c r="BP47" s="178"/>
      <c r="BQ47" s="178"/>
      <c r="BR47" s="167"/>
      <c r="BS47" s="167"/>
      <c r="BT47" s="167"/>
      <c r="BU47" s="167"/>
      <c r="BV47" s="167"/>
      <c r="BW47" s="167"/>
      <c r="BX47" s="167"/>
      <c r="BY47" s="167"/>
      <c r="BZ47" s="167"/>
      <c r="CA47" s="167"/>
      <c r="CB47" s="167"/>
      <c r="CC47" s="167"/>
      <c r="CD47" s="167"/>
      <c r="CE47" s="167"/>
    </row>
    <row r="48" spans="1:83" x14ac:dyDescent="0.35">
      <c r="A48" s="168">
        <f t="shared" si="20"/>
        <v>33</v>
      </c>
      <c r="B48" s="169"/>
      <c r="C48" s="174">
        <v>1</v>
      </c>
      <c r="D48" s="171"/>
      <c r="E48" s="168" t="s">
        <v>45</v>
      </c>
      <c r="F48" s="169"/>
      <c r="G48" s="169" t="s">
        <v>45</v>
      </c>
      <c r="H48" s="169"/>
      <c r="I48" s="168" t="s">
        <v>45</v>
      </c>
      <c r="J48" s="169"/>
      <c r="K48" s="225" t="s">
        <v>45</v>
      </c>
      <c r="L48" s="169"/>
      <c r="M48" s="168">
        <v>1</v>
      </c>
      <c r="N48" s="237">
        <f>N47</f>
        <v>2023</v>
      </c>
      <c r="O48" s="244">
        <f t="shared" si="25"/>
        <v>2024</v>
      </c>
      <c r="P48" s="169"/>
      <c r="Q48" s="227">
        <v>1</v>
      </c>
      <c r="R48" s="173"/>
      <c r="S48" s="174">
        <f t="shared" si="26"/>
        <v>1</v>
      </c>
      <c r="T48" s="174"/>
      <c r="U48" s="175">
        <f t="shared" si="27"/>
        <v>47.575415706322005</v>
      </c>
      <c r="V48" s="171"/>
      <c r="W48" s="174">
        <f t="shared" si="28"/>
        <v>1</v>
      </c>
      <c r="X48" s="174"/>
      <c r="Y48" s="174">
        <f t="shared" si="29"/>
        <v>1.03</v>
      </c>
      <c r="Z48" s="174"/>
      <c r="AA48" s="174">
        <f t="shared" si="42"/>
        <v>1.0609</v>
      </c>
      <c r="AB48" s="174"/>
      <c r="AC48" s="174">
        <f t="shared" si="43"/>
        <v>1.092727</v>
      </c>
      <c r="AD48" s="174"/>
      <c r="AE48" s="174">
        <f t="shared" si="30"/>
        <v>1.1255088099999999</v>
      </c>
      <c r="AF48" s="174"/>
      <c r="AG48" s="174">
        <f t="shared" si="31"/>
        <v>1.1592740742999998</v>
      </c>
      <c r="AH48" s="174"/>
      <c r="AI48" s="174">
        <f t="shared" si="32"/>
        <v>1.1940522965289999</v>
      </c>
      <c r="AJ48" s="174"/>
      <c r="AK48" s="174">
        <f t="shared" si="33"/>
        <v>1.22987386542487</v>
      </c>
      <c r="AL48" s="174"/>
      <c r="AM48" s="174">
        <f t="shared" si="34"/>
        <v>1.2667700813876159</v>
      </c>
      <c r="AN48" s="174"/>
      <c r="AO48" s="174">
        <f t="shared" si="35"/>
        <v>1.3047731838292445</v>
      </c>
      <c r="AP48" s="174"/>
      <c r="AQ48" s="174">
        <f t="shared" si="36"/>
        <v>1.3439163793441218</v>
      </c>
      <c r="AR48" s="174"/>
      <c r="AS48" s="174">
        <f t="shared" si="37"/>
        <v>1.3842338707244455</v>
      </c>
      <c r="AT48" s="174"/>
      <c r="AU48" s="174">
        <f t="shared" si="38"/>
        <v>1.4257608868461786</v>
      </c>
      <c r="AV48" s="174"/>
      <c r="AW48" s="174">
        <f t="shared" si="39"/>
        <v>1.4685337134515639</v>
      </c>
      <c r="AX48" s="174"/>
      <c r="AY48" s="174">
        <f t="shared" si="40"/>
        <v>1.512589724855111</v>
      </c>
      <c r="AZ48" s="185"/>
      <c r="BA48" s="181"/>
      <c r="BJ48" s="178"/>
      <c r="BK48" s="178"/>
      <c r="BL48" s="178"/>
      <c r="BM48" s="178"/>
      <c r="BN48" s="178"/>
      <c r="BO48" s="178"/>
      <c r="BP48" s="178"/>
      <c r="BQ48" s="178"/>
      <c r="BR48" s="167"/>
      <c r="BS48" s="167"/>
      <c r="BT48" s="167"/>
      <c r="BU48" s="167"/>
      <c r="BV48" s="167"/>
      <c r="BW48" s="167"/>
      <c r="BX48" s="167"/>
      <c r="BY48" s="167"/>
      <c r="BZ48" s="167"/>
      <c r="CA48" s="167"/>
      <c r="CB48" s="167"/>
      <c r="CC48" s="167"/>
      <c r="CD48" s="167"/>
      <c r="CE48" s="167"/>
    </row>
    <row r="49" spans="1:83" x14ac:dyDescent="0.35">
      <c r="A49" s="180">
        <f t="shared" si="20"/>
        <v>34</v>
      </c>
      <c r="B49" s="181"/>
      <c r="C49" s="185">
        <v>1</v>
      </c>
      <c r="D49" s="183"/>
      <c r="E49" s="180" t="s">
        <v>45</v>
      </c>
      <c r="F49" s="181"/>
      <c r="G49" s="181" t="s">
        <v>45</v>
      </c>
      <c r="H49" s="181"/>
      <c r="I49" s="135" t="s">
        <v>45</v>
      </c>
      <c r="K49" s="143" t="s">
        <v>45</v>
      </c>
      <c r="M49" s="135">
        <v>1</v>
      </c>
      <c r="N49" s="238">
        <f>N48</f>
        <v>2023</v>
      </c>
      <c r="O49" s="243">
        <f t="shared" si="25"/>
        <v>2024</v>
      </c>
      <c r="Q49" s="226">
        <v>1</v>
      </c>
      <c r="R49" s="177"/>
      <c r="S49" s="178">
        <f t="shared" si="26"/>
        <v>1</v>
      </c>
      <c r="T49" s="178"/>
      <c r="U49" s="179">
        <f t="shared" ref="U49:U54" si="44">SUM(W49:AY49)+SUM(I99:AK99)</f>
        <v>47.575415706322005</v>
      </c>
      <c r="V49" s="183"/>
      <c r="W49" s="185">
        <f t="shared" si="28"/>
        <v>1</v>
      </c>
      <c r="X49" s="185"/>
      <c r="Y49" s="185">
        <f t="shared" si="29"/>
        <v>1.03</v>
      </c>
      <c r="Z49" s="185"/>
      <c r="AA49" s="185">
        <f t="shared" si="42"/>
        <v>1.0609</v>
      </c>
      <c r="AB49" s="185"/>
      <c r="AC49" s="185">
        <f t="shared" si="43"/>
        <v>1.092727</v>
      </c>
      <c r="AD49" s="185"/>
      <c r="AE49" s="185">
        <f t="shared" si="30"/>
        <v>1.1255088099999999</v>
      </c>
      <c r="AF49" s="185"/>
      <c r="AG49" s="185">
        <f t="shared" si="31"/>
        <v>1.1592740742999998</v>
      </c>
      <c r="AH49" s="185"/>
      <c r="AI49" s="185">
        <f t="shared" si="32"/>
        <v>1.1940522965289999</v>
      </c>
      <c r="AJ49" s="185"/>
      <c r="AK49" s="185">
        <f t="shared" si="33"/>
        <v>1.22987386542487</v>
      </c>
      <c r="AL49" s="185"/>
      <c r="AM49" s="185">
        <f t="shared" si="34"/>
        <v>1.2667700813876159</v>
      </c>
      <c r="AN49" s="185"/>
      <c r="AO49" s="185">
        <f t="shared" si="35"/>
        <v>1.3047731838292445</v>
      </c>
      <c r="AP49" s="185"/>
      <c r="AQ49" s="185">
        <f t="shared" si="36"/>
        <v>1.3439163793441218</v>
      </c>
      <c r="AR49" s="185"/>
      <c r="AS49" s="185">
        <f t="shared" si="37"/>
        <v>1.3842338707244455</v>
      </c>
      <c r="AT49" s="185"/>
      <c r="AU49" s="185">
        <f t="shared" si="38"/>
        <v>1.4257608868461786</v>
      </c>
      <c r="AV49" s="185"/>
      <c r="AW49" s="185">
        <f t="shared" si="39"/>
        <v>1.4685337134515639</v>
      </c>
      <c r="AX49" s="185"/>
      <c r="AY49" s="185">
        <f t="shared" si="40"/>
        <v>1.512589724855111</v>
      </c>
      <c r="AZ49" s="185"/>
      <c r="BA49" s="181"/>
      <c r="BJ49" s="178"/>
      <c r="BK49" s="178"/>
      <c r="BL49" s="178"/>
      <c r="BM49" s="178"/>
      <c r="BN49" s="178"/>
      <c r="BO49" s="178"/>
      <c r="BP49" s="178"/>
      <c r="BQ49" s="178"/>
      <c r="BR49" s="167"/>
      <c r="BS49" s="167"/>
      <c r="BT49" s="167"/>
      <c r="BU49" s="167"/>
      <c r="BV49" s="167"/>
      <c r="BW49" s="167"/>
      <c r="BX49" s="167"/>
      <c r="BY49" s="167"/>
      <c r="BZ49" s="167"/>
      <c r="CA49" s="167"/>
      <c r="CB49" s="167"/>
      <c r="CC49" s="167"/>
      <c r="CD49" s="167"/>
      <c r="CE49" s="167"/>
    </row>
    <row r="50" spans="1:83" x14ac:dyDescent="0.35">
      <c r="A50" s="180">
        <f t="shared" si="20"/>
        <v>35</v>
      </c>
      <c r="B50" s="181"/>
      <c r="C50" s="185">
        <v>1</v>
      </c>
      <c r="D50" s="183"/>
      <c r="E50" s="180" t="s">
        <v>45</v>
      </c>
      <c r="F50" s="181"/>
      <c r="G50" s="181" t="s">
        <v>45</v>
      </c>
      <c r="H50" s="181"/>
      <c r="I50" s="135" t="s">
        <v>45</v>
      </c>
      <c r="K50" s="143" t="s">
        <v>45</v>
      </c>
      <c r="M50" s="135">
        <v>1</v>
      </c>
      <c r="N50" s="238">
        <f t="shared" si="41"/>
        <v>2023</v>
      </c>
      <c r="O50" s="243">
        <f t="shared" si="25"/>
        <v>2024</v>
      </c>
      <c r="Q50" s="226">
        <v>1</v>
      </c>
      <c r="R50" s="177"/>
      <c r="S50" s="178">
        <f t="shared" si="26"/>
        <v>1</v>
      </c>
      <c r="T50" s="178"/>
      <c r="U50" s="179">
        <f t="shared" si="44"/>
        <v>47.575415706322005</v>
      </c>
      <c r="V50" s="183"/>
      <c r="W50" s="185">
        <f t="shared" si="28"/>
        <v>1</v>
      </c>
      <c r="X50" s="185"/>
      <c r="Y50" s="185">
        <f t="shared" si="29"/>
        <v>1.03</v>
      </c>
      <c r="Z50" s="185"/>
      <c r="AA50" s="185">
        <f t="shared" si="42"/>
        <v>1.0609</v>
      </c>
      <c r="AB50" s="185"/>
      <c r="AC50" s="185">
        <f t="shared" si="43"/>
        <v>1.092727</v>
      </c>
      <c r="AD50" s="185"/>
      <c r="AE50" s="185">
        <f t="shared" si="30"/>
        <v>1.1255088099999999</v>
      </c>
      <c r="AF50" s="185"/>
      <c r="AG50" s="185">
        <f t="shared" si="31"/>
        <v>1.1592740742999998</v>
      </c>
      <c r="AH50" s="185"/>
      <c r="AI50" s="185">
        <f t="shared" si="32"/>
        <v>1.1940522965289999</v>
      </c>
      <c r="AJ50" s="185"/>
      <c r="AK50" s="185">
        <f t="shared" si="33"/>
        <v>1.22987386542487</v>
      </c>
      <c r="AL50" s="185"/>
      <c r="AM50" s="185">
        <f t="shared" si="34"/>
        <v>1.2667700813876159</v>
      </c>
      <c r="AN50" s="185"/>
      <c r="AO50" s="185">
        <f t="shared" si="35"/>
        <v>1.3047731838292445</v>
      </c>
      <c r="AP50" s="185"/>
      <c r="AQ50" s="185">
        <f t="shared" si="36"/>
        <v>1.3439163793441218</v>
      </c>
      <c r="AR50" s="185"/>
      <c r="AS50" s="185">
        <f t="shared" si="37"/>
        <v>1.3842338707244455</v>
      </c>
      <c r="AT50" s="185"/>
      <c r="AU50" s="185">
        <f t="shared" si="38"/>
        <v>1.4257608868461786</v>
      </c>
      <c r="AV50" s="185"/>
      <c r="AW50" s="185">
        <f t="shared" si="39"/>
        <v>1.4685337134515639</v>
      </c>
      <c r="AX50" s="185"/>
      <c r="AY50" s="185">
        <f t="shared" si="40"/>
        <v>1.512589724855111</v>
      </c>
      <c r="AZ50" s="185"/>
      <c r="BA50" s="181"/>
      <c r="BJ50" s="178"/>
      <c r="BK50" s="178"/>
      <c r="BL50" s="178"/>
      <c r="BM50" s="178"/>
      <c r="BN50" s="178"/>
      <c r="BO50" s="178"/>
      <c r="BP50" s="178"/>
      <c r="BQ50" s="178"/>
      <c r="BR50" s="167"/>
      <c r="BS50" s="167"/>
      <c r="BT50" s="167"/>
      <c r="BU50" s="167"/>
      <c r="BV50" s="167"/>
      <c r="BW50" s="167"/>
      <c r="BX50" s="167"/>
      <c r="BY50" s="167"/>
      <c r="BZ50" s="167"/>
      <c r="CA50" s="167"/>
      <c r="CB50" s="167"/>
      <c r="CC50" s="167"/>
      <c r="CD50" s="167"/>
      <c r="CE50" s="167"/>
    </row>
    <row r="51" spans="1:83" x14ac:dyDescent="0.35">
      <c r="A51" s="180">
        <f t="shared" si="20"/>
        <v>36</v>
      </c>
      <c r="B51" s="181"/>
      <c r="C51" s="185">
        <v>1</v>
      </c>
      <c r="D51" s="183"/>
      <c r="E51" s="180" t="s">
        <v>45</v>
      </c>
      <c r="F51" s="181"/>
      <c r="G51" s="181" t="s">
        <v>45</v>
      </c>
      <c r="H51" s="181"/>
      <c r="I51" s="135" t="s">
        <v>45</v>
      </c>
      <c r="K51" s="143" t="s">
        <v>45</v>
      </c>
      <c r="M51" s="135">
        <v>1</v>
      </c>
      <c r="N51" s="238">
        <f t="shared" si="41"/>
        <v>2023</v>
      </c>
      <c r="O51" s="243">
        <f t="shared" si="25"/>
        <v>2024</v>
      </c>
      <c r="Q51" s="226">
        <v>1</v>
      </c>
      <c r="R51" s="177"/>
      <c r="S51" s="178">
        <f t="shared" si="26"/>
        <v>1</v>
      </c>
      <c r="T51" s="178"/>
      <c r="U51" s="179">
        <f t="shared" si="44"/>
        <v>47.575415706322005</v>
      </c>
      <c r="V51" s="183"/>
      <c r="W51" s="185">
        <f t="shared" si="28"/>
        <v>1</v>
      </c>
      <c r="X51" s="185"/>
      <c r="Y51" s="185">
        <f t="shared" si="29"/>
        <v>1.03</v>
      </c>
      <c r="Z51" s="185"/>
      <c r="AA51" s="185">
        <f t="shared" si="42"/>
        <v>1.0609</v>
      </c>
      <c r="AB51" s="185"/>
      <c r="AC51" s="185">
        <f t="shared" si="43"/>
        <v>1.092727</v>
      </c>
      <c r="AD51" s="185"/>
      <c r="AE51" s="185">
        <f t="shared" si="30"/>
        <v>1.1255088099999999</v>
      </c>
      <c r="AF51" s="185"/>
      <c r="AG51" s="185">
        <f t="shared" si="31"/>
        <v>1.1592740742999998</v>
      </c>
      <c r="AH51" s="185"/>
      <c r="AI51" s="185">
        <f t="shared" si="32"/>
        <v>1.1940522965289999</v>
      </c>
      <c r="AJ51" s="185"/>
      <c r="AK51" s="185">
        <f t="shared" si="33"/>
        <v>1.22987386542487</v>
      </c>
      <c r="AL51" s="185"/>
      <c r="AM51" s="185">
        <f t="shared" si="34"/>
        <v>1.2667700813876159</v>
      </c>
      <c r="AN51" s="185"/>
      <c r="AO51" s="185">
        <f t="shared" si="35"/>
        <v>1.3047731838292445</v>
      </c>
      <c r="AP51" s="185"/>
      <c r="AQ51" s="185">
        <f t="shared" si="36"/>
        <v>1.3439163793441218</v>
      </c>
      <c r="AR51" s="185"/>
      <c r="AS51" s="185">
        <f t="shared" si="37"/>
        <v>1.3842338707244455</v>
      </c>
      <c r="AT51" s="185"/>
      <c r="AU51" s="185">
        <f t="shared" si="38"/>
        <v>1.4257608868461786</v>
      </c>
      <c r="AV51" s="185"/>
      <c r="AW51" s="185">
        <f t="shared" si="39"/>
        <v>1.4685337134515639</v>
      </c>
      <c r="AX51" s="185"/>
      <c r="AY51" s="185">
        <f t="shared" si="40"/>
        <v>1.512589724855111</v>
      </c>
      <c r="AZ51" s="185"/>
      <c r="BA51" s="181"/>
      <c r="BJ51" s="178"/>
      <c r="BK51" s="178"/>
      <c r="BL51" s="178"/>
      <c r="BM51" s="178"/>
      <c r="BN51" s="178"/>
      <c r="BO51" s="178"/>
      <c r="BP51" s="178"/>
      <c r="BQ51" s="178"/>
      <c r="BR51" s="167"/>
      <c r="BS51" s="167"/>
      <c r="BT51" s="167"/>
      <c r="BU51" s="167"/>
      <c r="BV51" s="167"/>
      <c r="BW51" s="167"/>
      <c r="BX51" s="167"/>
      <c r="BY51" s="167"/>
      <c r="BZ51" s="167"/>
      <c r="CA51" s="167"/>
      <c r="CB51" s="167"/>
      <c r="CC51" s="167"/>
      <c r="CD51" s="167"/>
      <c r="CE51" s="167"/>
    </row>
    <row r="52" spans="1:83" x14ac:dyDescent="0.35">
      <c r="A52" s="168">
        <f>A51+1</f>
        <v>37</v>
      </c>
      <c r="B52" s="169"/>
      <c r="C52" s="174">
        <v>1</v>
      </c>
      <c r="D52" s="171"/>
      <c r="E52" s="168" t="s">
        <v>45</v>
      </c>
      <c r="F52" s="169"/>
      <c r="G52" s="169" t="s">
        <v>45</v>
      </c>
      <c r="H52" s="169"/>
      <c r="I52" s="168" t="s">
        <v>45</v>
      </c>
      <c r="J52" s="169"/>
      <c r="K52" s="225" t="s">
        <v>45</v>
      </c>
      <c r="L52" s="169"/>
      <c r="M52" s="168">
        <v>1</v>
      </c>
      <c r="N52" s="237">
        <f t="shared" si="41"/>
        <v>2023</v>
      </c>
      <c r="O52" s="244">
        <f>+$W$10-1+M52</f>
        <v>2024</v>
      </c>
      <c r="P52" s="169"/>
      <c r="Q52" s="227">
        <v>1</v>
      </c>
      <c r="R52" s="173"/>
      <c r="S52" s="174">
        <f>C52*Q52</f>
        <v>1</v>
      </c>
      <c r="T52" s="174"/>
      <c r="U52" s="175">
        <f t="shared" si="44"/>
        <v>47.575415706322005</v>
      </c>
      <c r="V52" s="171"/>
      <c r="W52" s="174">
        <f t="shared" si="28"/>
        <v>1</v>
      </c>
      <c r="X52" s="174"/>
      <c r="Y52" s="174">
        <f t="shared" si="29"/>
        <v>1.03</v>
      </c>
      <c r="Z52" s="174"/>
      <c r="AA52" s="174">
        <f t="shared" si="42"/>
        <v>1.0609</v>
      </c>
      <c r="AB52" s="174"/>
      <c r="AC52" s="174">
        <f t="shared" si="43"/>
        <v>1.092727</v>
      </c>
      <c r="AD52" s="174"/>
      <c r="AE52" s="174">
        <f t="shared" si="30"/>
        <v>1.1255088099999999</v>
      </c>
      <c r="AF52" s="174"/>
      <c r="AG52" s="174">
        <f t="shared" si="31"/>
        <v>1.1592740742999998</v>
      </c>
      <c r="AH52" s="174"/>
      <c r="AI52" s="174">
        <f t="shared" si="32"/>
        <v>1.1940522965289999</v>
      </c>
      <c r="AJ52" s="174"/>
      <c r="AK52" s="174">
        <f t="shared" si="33"/>
        <v>1.22987386542487</v>
      </c>
      <c r="AL52" s="174"/>
      <c r="AM52" s="174">
        <f t="shared" si="34"/>
        <v>1.2667700813876159</v>
      </c>
      <c r="AN52" s="174"/>
      <c r="AO52" s="174">
        <f t="shared" si="35"/>
        <v>1.3047731838292445</v>
      </c>
      <c r="AP52" s="174"/>
      <c r="AQ52" s="174">
        <f t="shared" si="36"/>
        <v>1.3439163793441218</v>
      </c>
      <c r="AR52" s="174"/>
      <c r="AS52" s="174">
        <f t="shared" si="37"/>
        <v>1.3842338707244455</v>
      </c>
      <c r="AT52" s="174"/>
      <c r="AU52" s="174">
        <f t="shared" si="38"/>
        <v>1.4257608868461786</v>
      </c>
      <c r="AV52" s="174"/>
      <c r="AW52" s="174">
        <f t="shared" si="39"/>
        <v>1.4685337134515639</v>
      </c>
      <c r="AX52" s="174"/>
      <c r="AY52" s="174">
        <f t="shared" si="40"/>
        <v>1.512589724855111</v>
      </c>
      <c r="AZ52" s="185"/>
      <c r="BJ52" s="178"/>
      <c r="BK52" s="178"/>
      <c r="BL52" s="178"/>
      <c r="BM52" s="178"/>
      <c r="BN52" s="178"/>
      <c r="BO52" s="178"/>
      <c r="BP52" s="178"/>
      <c r="BQ52" s="178"/>
      <c r="BR52" s="167"/>
      <c r="BS52" s="167"/>
      <c r="BT52" s="167"/>
      <c r="BU52" s="167"/>
      <c r="BV52" s="167"/>
      <c r="BW52" s="167"/>
      <c r="BX52" s="167"/>
      <c r="BY52" s="167"/>
      <c r="BZ52" s="167"/>
      <c r="CA52" s="167"/>
      <c r="CB52" s="167"/>
      <c r="CC52" s="167"/>
      <c r="CD52" s="167"/>
      <c r="CE52" s="167"/>
    </row>
    <row r="53" spans="1:83" x14ac:dyDescent="0.35">
      <c r="A53" s="168">
        <f t="shared" si="20"/>
        <v>38</v>
      </c>
      <c r="B53" s="169"/>
      <c r="C53" s="174">
        <v>1</v>
      </c>
      <c r="D53" s="171"/>
      <c r="E53" s="168" t="s">
        <v>45</v>
      </c>
      <c r="F53" s="169"/>
      <c r="G53" s="169" t="s">
        <v>45</v>
      </c>
      <c r="H53" s="169"/>
      <c r="I53" s="168" t="s">
        <v>45</v>
      </c>
      <c r="J53" s="169"/>
      <c r="K53" s="225" t="s">
        <v>45</v>
      </c>
      <c r="L53" s="169"/>
      <c r="M53" s="168">
        <v>1</v>
      </c>
      <c r="N53" s="237">
        <f>N52</f>
        <v>2023</v>
      </c>
      <c r="O53" s="244">
        <f>+$W$10-1+M53</f>
        <v>2024</v>
      </c>
      <c r="P53" s="169"/>
      <c r="Q53" s="227">
        <v>1</v>
      </c>
      <c r="R53" s="173"/>
      <c r="S53" s="174">
        <f>C53*Q53</f>
        <v>1</v>
      </c>
      <c r="T53" s="174"/>
      <c r="U53" s="175">
        <f t="shared" si="44"/>
        <v>47.575415706322005</v>
      </c>
      <c r="V53" s="171"/>
      <c r="W53" s="174">
        <f t="shared" si="28"/>
        <v>1</v>
      </c>
      <c r="X53" s="174"/>
      <c r="Y53" s="174">
        <f t="shared" si="29"/>
        <v>1.03</v>
      </c>
      <c r="Z53" s="174"/>
      <c r="AA53" s="174">
        <f t="shared" si="42"/>
        <v>1.0609</v>
      </c>
      <c r="AB53" s="174"/>
      <c r="AC53" s="174">
        <f t="shared" si="43"/>
        <v>1.092727</v>
      </c>
      <c r="AD53" s="174"/>
      <c r="AE53" s="174">
        <f t="shared" si="30"/>
        <v>1.1255088099999999</v>
      </c>
      <c r="AF53" s="174"/>
      <c r="AG53" s="174">
        <f t="shared" si="31"/>
        <v>1.1592740742999998</v>
      </c>
      <c r="AH53" s="174"/>
      <c r="AI53" s="174">
        <f t="shared" si="32"/>
        <v>1.1940522965289999</v>
      </c>
      <c r="AJ53" s="174"/>
      <c r="AK53" s="174">
        <f t="shared" si="33"/>
        <v>1.22987386542487</v>
      </c>
      <c r="AL53" s="174"/>
      <c r="AM53" s="174">
        <f t="shared" si="34"/>
        <v>1.2667700813876159</v>
      </c>
      <c r="AN53" s="174"/>
      <c r="AO53" s="174">
        <f t="shared" si="35"/>
        <v>1.3047731838292445</v>
      </c>
      <c r="AP53" s="174"/>
      <c r="AQ53" s="174">
        <f t="shared" si="36"/>
        <v>1.3439163793441218</v>
      </c>
      <c r="AR53" s="174"/>
      <c r="AS53" s="174">
        <f t="shared" si="37"/>
        <v>1.3842338707244455</v>
      </c>
      <c r="AT53" s="174"/>
      <c r="AU53" s="174">
        <f t="shared" si="38"/>
        <v>1.4257608868461786</v>
      </c>
      <c r="AV53" s="174"/>
      <c r="AW53" s="174">
        <f t="shared" si="39"/>
        <v>1.4685337134515639</v>
      </c>
      <c r="AX53" s="174"/>
      <c r="AY53" s="174">
        <f t="shared" si="40"/>
        <v>1.512589724855111</v>
      </c>
      <c r="AZ53" s="185"/>
      <c r="BJ53" s="178"/>
      <c r="BK53" s="178"/>
      <c r="BL53" s="178"/>
      <c r="BM53" s="178"/>
      <c r="BN53" s="178"/>
      <c r="BO53" s="178"/>
      <c r="BP53" s="178"/>
      <c r="BQ53" s="178"/>
      <c r="BR53" s="167"/>
      <c r="BS53" s="167"/>
      <c r="BT53" s="167"/>
      <c r="BU53" s="167"/>
      <c r="BV53" s="167"/>
      <c r="BW53" s="167"/>
      <c r="BX53" s="167"/>
      <c r="BY53" s="167"/>
      <c r="BZ53" s="167"/>
      <c r="CA53" s="167"/>
      <c r="CB53" s="167"/>
      <c r="CC53" s="167"/>
      <c r="CD53" s="167"/>
      <c r="CE53" s="167"/>
    </row>
    <row r="54" spans="1:83" x14ac:dyDescent="0.35">
      <c r="A54" s="168">
        <f t="shared" si="20"/>
        <v>39</v>
      </c>
      <c r="B54" s="169"/>
      <c r="C54" s="174">
        <v>1</v>
      </c>
      <c r="D54" s="171"/>
      <c r="E54" s="168" t="s">
        <v>45</v>
      </c>
      <c r="F54" s="169"/>
      <c r="G54" s="169" t="s">
        <v>45</v>
      </c>
      <c r="H54" s="169"/>
      <c r="I54" s="168" t="s">
        <v>45</v>
      </c>
      <c r="J54" s="169"/>
      <c r="K54" s="225" t="s">
        <v>45</v>
      </c>
      <c r="L54" s="169"/>
      <c r="M54" s="168">
        <v>1</v>
      </c>
      <c r="N54" s="237">
        <f>N53</f>
        <v>2023</v>
      </c>
      <c r="O54" s="244">
        <f>+$W$10-1+M54</f>
        <v>2024</v>
      </c>
      <c r="P54" s="169"/>
      <c r="Q54" s="227">
        <v>1</v>
      </c>
      <c r="R54" s="173"/>
      <c r="S54" s="174">
        <f>C54*Q54</f>
        <v>1</v>
      </c>
      <c r="T54" s="174"/>
      <c r="U54" s="175">
        <f t="shared" si="44"/>
        <v>47.575415706322005</v>
      </c>
      <c r="V54" s="171"/>
      <c r="W54" s="174">
        <f t="shared" si="28"/>
        <v>1</v>
      </c>
      <c r="X54" s="174"/>
      <c r="Y54" s="174">
        <f t="shared" si="29"/>
        <v>1.03</v>
      </c>
      <c r="Z54" s="174"/>
      <c r="AA54" s="174">
        <f t="shared" si="42"/>
        <v>1.0609</v>
      </c>
      <c r="AB54" s="174"/>
      <c r="AC54" s="174">
        <f t="shared" si="43"/>
        <v>1.092727</v>
      </c>
      <c r="AD54" s="174"/>
      <c r="AE54" s="174">
        <f t="shared" si="30"/>
        <v>1.1255088099999999</v>
      </c>
      <c r="AF54" s="174"/>
      <c r="AG54" s="174">
        <f t="shared" si="31"/>
        <v>1.1592740742999998</v>
      </c>
      <c r="AH54" s="174"/>
      <c r="AI54" s="174">
        <f t="shared" si="32"/>
        <v>1.1940522965289999</v>
      </c>
      <c r="AJ54" s="174"/>
      <c r="AK54" s="174">
        <f t="shared" si="33"/>
        <v>1.22987386542487</v>
      </c>
      <c r="AL54" s="174"/>
      <c r="AM54" s="174">
        <f t="shared" si="34"/>
        <v>1.2667700813876159</v>
      </c>
      <c r="AN54" s="174"/>
      <c r="AO54" s="174">
        <f t="shared" si="35"/>
        <v>1.3047731838292445</v>
      </c>
      <c r="AP54" s="174"/>
      <c r="AQ54" s="174">
        <f t="shared" si="36"/>
        <v>1.3439163793441218</v>
      </c>
      <c r="AR54" s="174"/>
      <c r="AS54" s="174">
        <f t="shared" si="37"/>
        <v>1.3842338707244455</v>
      </c>
      <c r="AT54" s="174"/>
      <c r="AU54" s="174">
        <f t="shared" si="38"/>
        <v>1.4257608868461786</v>
      </c>
      <c r="AV54" s="174"/>
      <c r="AW54" s="174">
        <f t="shared" si="39"/>
        <v>1.4685337134515639</v>
      </c>
      <c r="AX54" s="174"/>
      <c r="AY54" s="174">
        <f t="shared" si="40"/>
        <v>1.512589724855111</v>
      </c>
      <c r="AZ54" s="185"/>
      <c r="BJ54" s="178"/>
      <c r="BK54" s="178"/>
      <c r="BL54" s="178"/>
      <c r="BM54" s="178"/>
      <c r="BN54" s="178"/>
      <c r="BO54" s="178"/>
      <c r="BP54" s="178"/>
      <c r="BQ54" s="178"/>
      <c r="BR54" s="167"/>
      <c r="BS54" s="167"/>
      <c r="BT54" s="167"/>
      <c r="BU54" s="167"/>
      <c r="BV54" s="167"/>
      <c r="BW54" s="167"/>
      <c r="BX54" s="167"/>
      <c r="BY54" s="167"/>
      <c r="BZ54" s="167"/>
      <c r="CA54" s="167"/>
      <c r="CB54" s="167"/>
      <c r="CC54" s="167"/>
      <c r="CD54" s="167"/>
      <c r="CE54" s="167"/>
    </row>
    <row r="55" spans="1:83" ht="9.4" customHeight="1" x14ac:dyDescent="0.35">
      <c r="C55" s="137"/>
      <c r="O55" s="136"/>
      <c r="Q55" s="189"/>
      <c r="R55" s="177"/>
      <c r="S55" s="190"/>
      <c r="T55" s="178"/>
      <c r="U55" s="190"/>
      <c r="V55" s="138"/>
      <c r="W55" s="190"/>
      <c r="X55" s="178"/>
      <c r="Y55" s="190"/>
      <c r="Z55" s="178"/>
      <c r="AA55" s="190"/>
      <c r="AB55" s="178"/>
      <c r="AC55" s="190"/>
      <c r="AD55" s="178"/>
      <c r="AE55" s="190"/>
      <c r="AF55" s="178"/>
      <c r="AG55" s="190"/>
      <c r="AH55" s="178"/>
      <c r="AI55" s="190"/>
      <c r="AJ55" s="178"/>
      <c r="AK55" s="190"/>
      <c r="AL55" s="178"/>
      <c r="AM55" s="190"/>
      <c r="AN55" s="178"/>
      <c r="AO55" s="190"/>
      <c r="AP55" s="178"/>
      <c r="AQ55" s="190"/>
      <c r="AR55" s="178"/>
      <c r="AS55" s="190"/>
      <c r="AT55" s="178"/>
      <c r="AU55" s="190"/>
      <c r="AV55" s="178"/>
      <c r="AW55" s="190"/>
      <c r="AX55" s="178"/>
      <c r="AY55" s="190"/>
      <c r="AZ55" s="178"/>
      <c r="BJ55" s="178"/>
      <c r="BK55" s="178"/>
      <c r="BL55" s="178"/>
      <c r="BM55" s="178"/>
      <c r="BN55" s="178"/>
      <c r="BO55" s="178"/>
      <c r="BP55" s="178"/>
      <c r="BQ55" s="178"/>
      <c r="BR55" s="167"/>
      <c r="BS55" s="167"/>
      <c r="BT55" s="167"/>
      <c r="BU55" s="167"/>
      <c r="BV55" s="167"/>
      <c r="BW55" s="167"/>
      <c r="BX55" s="167"/>
      <c r="BY55" s="167"/>
      <c r="BZ55" s="167"/>
      <c r="CA55" s="167"/>
      <c r="CB55" s="167"/>
      <c r="CC55" s="167"/>
      <c r="CD55" s="167"/>
      <c r="CE55" s="167"/>
    </row>
    <row r="56" spans="1:83" ht="24" thickBot="1" x14ac:dyDescent="0.4">
      <c r="C56" s="137"/>
      <c r="G56" s="141" t="s">
        <v>7</v>
      </c>
      <c r="Q56" s="178"/>
      <c r="R56" s="178"/>
      <c r="S56" s="191">
        <f>SUM(S14:T54)</f>
        <v>39</v>
      </c>
      <c r="T56" s="178"/>
      <c r="U56" s="191">
        <f>SUM(U14:U54)</f>
        <v>737.63123559483017</v>
      </c>
      <c r="V56" s="138"/>
      <c r="W56" s="191">
        <f>SUM(W14:W54)</f>
        <v>39</v>
      </c>
      <c r="X56" s="138"/>
      <c r="Y56" s="191">
        <f>SUM(Y14:Y54)</f>
        <v>15.449999999999996</v>
      </c>
      <c r="Z56" s="138"/>
      <c r="AA56" s="191">
        <f>SUM(AA14:AA54)</f>
        <v>15.913500000000001</v>
      </c>
      <c r="AB56" s="138"/>
      <c r="AC56" s="191">
        <f>SUM(AC14:AC54)</f>
        <v>16.390905</v>
      </c>
      <c r="AD56" s="138"/>
      <c r="AE56" s="191">
        <f>SUM(AE14:AE54)</f>
        <v>16.882632149999996</v>
      </c>
      <c r="AF56" s="138"/>
      <c r="AG56" s="191">
        <f>SUM(AG14:AG54)</f>
        <v>17.389111114500004</v>
      </c>
      <c r="AH56" s="138"/>
      <c r="AI56" s="191">
        <f>SUM(AI14:AI54)</f>
        <v>17.910784447935001</v>
      </c>
      <c r="AJ56" s="138"/>
      <c r="AK56" s="191">
        <f>SUM(AK14:AK54)</f>
        <v>18.448107981373056</v>
      </c>
      <c r="AL56" s="138"/>
      <c r="AM56" s="191">
        <f>SUM(AM14:AM54)</f>
        <v>19.001551220814239</v>
      </c>
      <c r="AN56" s="138"/>
      <c r="AO56" s="191">
        <f>SUM(AO14:AO54)</f>
        <v>19.571597757438667</v>
      </c>
      <c r="AP56" s="138"/>
      <c r="AQ56" s="191">
        <f>SUM(AQ14:AQ54)</f>
        <v>20.158745690161833</v>
      </c>
      <c r="AR56" s="138"/>
      <c r="AS56" s="191">
        <f>SUM(AS14:AS54)</f>
        <v>20.763508060866677</v>
      </c>
      <c r="AT56" s="138"/>
      <c r="AU56" s="191">
        <f>SUM(AU14:AU54)</f>
        <v>21.386413302692677</v>
      </c>
      <c r="AV56" s="138"/>
      <c r="AW56" s="191">
        <f>SUM(AW14:AW54)</f>
        <v>22.028005701773456</v>
      </c>
      <c r="AX56" s="138"/>
      <c r="AY56" s="191">
        <f>SUM(AY14:AY54)</f>
        <v>22.688845872826665</v>
      </c>
      <c r="AZ56" s="138"/>
      <c r="BJ56" s="178"/>
      <c r="BK56" s="178"/>
      <c r="BL56" s="178"/>
      <c r="BM56" s="178"/>
      <c r="BN56" s="178"/>
      <c r="BO56" s="178"/>
      <c r="BP56" s="178"/>
      <c r="BQ56" s="178"/>
      <c r="BR56" s="167"/>
      <c r="BS56" s="167"/>
      <c r="BT56" s="167"/>
      <c r="BU56" s="167"/>
      <c r="BV56" s="167"/>
      <c r="BW56" s="167"/>
      <c r="BX56" s="167"/>
      <c r="BY56" s="167"/>
      <c r="BZ56" s="167"/>
      <c r="CA56" s="167"/>
      <c r="CB56" s="167"/>
      <c r="CC56" s="167"/>
      <c r="CD56" s="167"/>
      <c r="CE56" s="167"/>
    </row>
    <row r="57" spans="1:83" s="151" customFormat="1" ht="24" thickTop="1" x14ac:dyDescent="0.35">
      <c r="A57" s="193"/>
      <c r="B57" s="194"/>
      <c r="C57" s="195"/>
      <c r="D57" s="196"/>
      <c r="E57" s="193"/>
      <c r="F57" s="194"/>
      <c r="G57" s="194"/>
      <c r="H57" s="194"/>
      <c r="I57" s="193"/>
      <c r="J57" s="194"/>
      <c r="K57" s="193"/>
      <c r="L57" s="194"/>
      <c r="M57" s="193"/>
      <c r="N57" s="194"/>
      <c r="O57" s="197"/>
      <c r="P57" s="194"/>
      <c r="Q57" s="198"/>
      <c r="R57" s="194"/>
      <c r="S57" s="199"/>
      <c r="T57" s="200"/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  <c r="AP57" s="201"/>
      <c r="AQ57" s="201"/>
      <c r="AR57" s="201"/>
      <c r="AS57" s="201"/>
      <c r="AT57" s="201"/>
      <c r="AU57" s="201"/>
      <c r="AV57" s="201"/>
      <c r="AW57" s="201"/>
      <c r="AX57" s="201"/>
      <c r="AY57" s="201"/>
      <c r="AZ57" s="202"/>
      <c r="BA57" s="202"/>
      <c r="BB57" s="202"/>
      <c r="BC57" s="202"/>
      <c r="BD57" s="202"/>
      <c r="BE57" s="202"/>
      <c r="BF57" s="202"/>
      <c r="BG57" s="202"/>
      <c r="BH57" s="202"/>
      <c r="BI57" s="202"/>
      <c r="BJ57" s="202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202"/>
      <c r="BY57" s="202"/>
      <c r="BZ57" s="202"/>
      <c r="CA57" s="202"/>
      <c r="CB57" s="202"/>
      <c r="CC57" s="202"/>
    </row>
    <row r="58" spans="1:83" x14ac:dyDescent="0.35">
      <c r="A58" s="150"/>
      <c r="B58" s="151"/>
      <c r="C58" s="203"/>
      <c r="D58" s="179"/>
      <c r="E58" s="150"/>
      <c r="F58" s="151"/>
      <c r="G58" s="151"/>
      <c r="H58" s="151"/>
      <c r="I58" s="150"/>
      <c r="J58" s="151"/>
      <c r="K58" s="150"/>
      <c r="L58" s="151"/>
      <c r="M58" s="150"/>
      <c r="N58" s="151"/>
      <c r="O58" s="204"/>
      <c r="P58" s="151"/>
      <c r="Q58" s="205"/>
      <c r="R58" s="151"/>
      <c r="S58" s="206"/>
      <c r="T58" s="206"/>
      <c r="U58" s="151"/>
      <c r="V58" s="151"/>
      <c r="W58" s="151"/>
      <c r="X58" s="151"/>
      <c r="Y58" s="151"/>
      <c r="Z58" s="151"/>
      <c r="AA58" s="151"/>
      <c r="AB58" s="151"/>
      <c r="AC58" s="151"/>
      <c r="AD58" s="151"/>
      <c r="AE58" s="151"/>
      <c r="AF58" s="151"/>
      <c r="AG58" s="151"/>
      <c r="AH58" s="151"/>
      <c r="AI58" s="151"/>
      <c r="AJ58" s="151"/>
      <c r="AK58" s="151"/>
      <c r="AL58" s="151"/>
      <c r="AM58" s="151"/>
      <c r="AN58" s="151"/>
      <c r="AO58" s="151"/>
      <c r="AP58" s="151"/>
      <c r="AQ58" s="151"/>
      <c r="AR58" s="151"/>
      <c r="AS58" s="151"/>
      <c r="AT58" s="151"/>
      <c r="AU58" s="151"/>
      <c r="AV58" s="151"/>
      <c r="AW58" s="151"/>
      <c r="AX58" s="151"/>
      <c r="AY58" s="151"/>
      <c r="AZ58" s="151"/>
      <c r="BA58" s="151"/>
      <c r="BB58" s="151"/>
      <c r="BC58" s="151"/>
      <c r="BD58" s="151"/>
      <c r="BE58" s="151"/>
      <c r="BF58" s="151"/>
      <c r="BG58" s="151"/>
      <c r="BH58" s="151"/>
      <c r="BI58" s="151"/>
    </row>
    <row r="59" spans="1:83" ht="22.9" customHeight="1" x14ac:dyDescent="0.35">
      <c r="A59" s="283" t="s">
        <v>0</v>
      </c>
      <c r="B59" s="141"/>
      <c r="C59" s="192"/>
      <c r="E59" s="142"/>
      <c r="F59" s="141"/>
      <c r="G59" s="141"/>
      <c r="H59" s="142"/>
      <c r="I59" s="142">
        <v>16</v>
      </c>
      <c r="J59" s="142"/>
      <c r="K59" s="142">
        <v>17</v>
      </c>
      <c r="L59" s="142"/>
      <c r="M59" s="142">
        <v>18</v>
      </c>
      <c r="N59" s="142"/>
      <c r="O59" s="142">
        <v>19</v>
      </c>
      <c r="P59" s="142"/>
      <c r="Q59" s="142">
        <v>20</v>
      </c>
      <c r="R59" s="142"/>
      <c r="S59" s="142">
        <f>+Q59+1</f>
        <v>21</v>
      </c>
      <c r="T59" s="142"/>
      <c r="U59" s="142">
        <f>+S59+1</f>
        <v>22</v>
      </c>
      <c r="V59" s="142"/>
      <c r="W59" s="142">
        <f>+U59+1</f>
        <v>23</v>
      </c>
      <c r="X59" s="142"/>
      <c r="Y59" s="142">
        <f>+W59+1</f>
        <v>24</v>
      </c>
      <c r="Z59" s="142"/>
      <c r="AA59" s="142">
        <f>+Y59+1</f>
        <v>25</v>
      </c>
      <c r="AC59" s="142">
        <f>+AA59+1</f>
        <v>26</v>
      </c>
      <c r="AE59" s="142">
        <f>+AC59+1</f>
        <v>27</v>
      </c>
      <c r="AG59" s="142">
        <f>+AE59+1</f>
        <v>28</v>
      </c>
      <c r="AI59" s="142">
        <f>+AG59+1</f>
        <v>29</v>
      </c>
      <c r="AK59" s="142">
        <f>+AI59+1</f>
        <v>30</v>
      </c>
    </row>
    <row r="60" spans="1:83" x14ac:dyDescent="0.35">
      <c r="A60" s="284"/>
      <c r="B60" s="155"/>
      <c r="C60" s="156" t="s">
        <v>30</v>
      </c>
      <c r="D60" s="157"/>
      <c r="E60" s="158" t="s">
        <v>1</v>
      </c>
      <c r="F60" s="155"/>
      <c r="G60" s="158" t="s">
        <v>2</v>
      </c>
      <c r="H60" s="155"/>
      <c r="I60" s="158">
        <f>AY10+1</f>
        <v>2039</v>
      </c>
      <c r="J60" s="158">
        <f>AZ10+1</f>
        <v>1</v>
      </c>
      <c r="K60" s="158">
        <f t="shared" ref="K60:Q60" si="45">I60+1</f>
        <v>2040</v>
      </c>
      <c r="L60" s="158">
        <f t="shared" si="45"/>
        <v>2</v>
      </c>
      <c r="M60" s="158">
        <f t="shared" si="45"/>
        <v>2041</v>
      </c>
      <c r="N60" s="158">
        <f t="shared" si="45"/>
        <v>3</v>
      </c>
      <c r="O60" s="158">
        <f t="shared" si="45"/>
        <v>2042</v>
      </c>
      <c r="P60" s="158">
        <f t="shared" si="45"/>
        <v>4</v>
      </c>
      <c r="Q60" s="158">
        <f t="shared" si="45"/>
        <v>2043</v>
      </c>
      <c r="R60" s="158"/>
      <c r="S60" s="158">
        <f>+Q60+1</f>
        <v>2044</v>
      </c>
      <c r="T60" s="158">
        <f t="shared" ref="T60:AK60" si="46">R60+1</f>
        <v>1</v>
      </c>
      <c r="U60" s="158">
        <f t="shared" si="46"/>
        <v>2045</v>
      </c>
      <c r="V60" s="158">
        <f>T60+1</f>
        <v>2</v>
      </c>
      <c r="W60" s="158">
        <f>U60+1</f>
        <v>2046</v>
      </c>
      <c r="X60" s="158">
        <f t="shared" si="46"/>
        <v>3</v>
      </c>
      <c r="Y60" s="158">
        <f t="shared" si="46"/>
        <v>2047</v>
      </c>
      <c r="Z60" s="158">
        <f t="shared" si="46"/>
        <v>4</v>
      </c>
      <c r="AA60" s="158">
        <f t="shared" si="46"/>
        <v>2048</v>
      </c>
      <c r="AC60" s="158">
        <f t="shared" si="46"/>
        <v>2049</v>
      </c>
      <c r="AE60" s="158">
        <f t="shared" si="46"/>
        <v>2050</v>
      </c>
      <c r="AG60" s="158">
        <f t="shared" si="46"/>
        <v>2051</v>
      </c>
      <c r="AI60" s="158">
        <f t="shared" si="46"/>
        <v>2052</v>
      </c>
      <c r="AK60" s="158">
        <f t="shared" si="46"/>
        <v>2053</v>
      </c>
      <c r="AL60" s="155"/>
    </row>
    <row r="61" spans="1:83" ht="9.4" customHeight="1" x14ac:dyDescent="0.35">
      <c r="B61" s="155"/>
      <c r="C61" s="161"/>
      <c r="D61" s="157"/>
      <c r="E61" s="154"/>
      <c r="G61" s="154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L61" s="155"/>
    </row>
    <row r="62" spans="1:83" x14ac:dyDescent="0.35">
      <c r="C62" s="137"/>
      <c r="G62" s="144" t="str">
        <f>+G12</f>
        <v>ELEMENTS REPLACE</v>
      </c>
      <c r="J62" s="135"/>
      <c r="L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</row>
    <row r="63" spans="1:83" ht="9.4" customHeight="1" x14ac:dyDescent="0.35">
      <c r="C63" s="137"/>
      <c r="G63" s="144"/>
      <c r="I63" s="167"/>
      <c r="J63" s="167"/>
      <c r="K63" s="167"/>
      <c r="L63" s="167"/>
      <c r="M63" s="167"/>
      <c r="N63" s="167"/>
      <c r="O63" s="167"/>
      <c r="P63" s="167"/>
      <c r="Q63" s="16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</row>
    <row r="64" spans="1:83" x14ac:dyDescent="0.35">
      <c r="A64" s="168">
        <f t="shared" ref="A64:A87" si="47">+A14</f>
        <v>1</v>
      </c>
      <c r="B64" s="169"/>
      <c r="C64" s="174">
        <f t="shared" ref="C64:C87" si="48">+C14</f>
        <v>1</v>
      </c>
      <c r="D64" s="171"/>
      <c r="E64" s="168" t="str">
        <f t="shared" ref="E64:E87" si="49">+E14</f>
        <v>x</v>
      </c>
      <c r="F64" s="169"/>
      <c r="G64" s="169" t="str">
        <f t="shared" ref="G64:G87" si="50">+G14</f>
        <v>x</v>
      </c>
      <c r="H64" s="169"/>
      <c r="I64" s="208">
        <f t="shared" ref="I64:I69" si="51">IF(I$59=$M14,FV($U$6,$M14-1,,-$S14,0),0)</f>
        <v>0</v>
      </c>
      <c r="J64" s="209"/>
      <c r="K64" s="208">
        <f t="shared" ref="K64:K87" si="52">IF(K$59=$M14,FV($U$6,$M14-1,,-$S14,0),0)</f>
        <v>0</v>
      </c>
      <c r="L64" s="209"/>
      <c r="M64" s="208">
        <f>IF(M$59=$M14,FV($U$6,$M14-1,,-$S14,0),0)</f>
        <v>0</v>
      </c>
      <c r="N64" s="209"/>
      <c r="O64" s="208">
        <f>IF(O$59=$M14,FV($U$6,$M14-1,,-$S14,0),0)</f>
        <v>0</v>
      </c>
      <c r="P64" s="209"/>
      <c r="Q64" s="208">
        <f>IF(Q$59=$M14,FV($U$6,$M14-1,,-$S14,0),0)</f>
        <v>0</v>
      </c>
      <c r="R64" s="209"/>
      <c r="S64" s="208">
        <f>IF(S$59=$M14,FV($U$6,$M14-1,,-$S14,0),0)</f>
        <v>0</v>
      </c>
      <c r="T64" s="209"/>
      <c r="U64" s="208">
        <f>IF(U$59=$M14,FV($U$6,$M14-1,,-$S14,0),0)</f>
        <v>0</v>
      </c>
      <c r="V64" s="209"/>
      <c r="W64" s="208">
        <f>IF(W$59=$M14,FV($U$6,$M14-1,,-$S14,0),0)</f>
        <v>0</v>
      </c>
      <c r="X64" s="209"/>
      <c r="Y64" s="208">
        <f>IF(Y$59=$M14,FV($U$6,$M14-1,,-$S14,0),0)</f>
        <v>0</v>
      </c>
      <c r="Z64" s="209"/>
      <c r="AA64" s="208">
        <f>IF(AA$59=$M14,FV($U$6,$M14-1,,-$S14,0),0)</f>
        <v>0</v>
      </c>
      <c r="AB64" s="209"/>
      <c r="AC64" s="208">
        <f>IF(AC$59=$M14,FV($U$6,$M14-1,,-$S14,0),0)</f>
        <v>0</v>
      </c>
      <c r="AD64" s="209"/>
      <c r="AE64" s="208">
        <f>IF(AE$59=$M14,FV($U$6,$M14-1,,-$S14,0),0)</f>
        <v>0</v>
      </c>
      <c r="AF64" s="209"/>
      <c r="AG64" s="208">
        <f>IF(AG$59=$M14,FV($U$6,$M14-1,,-$S14,0),0)</f>
        <v>0</v>
      </c>
      <c r="AH64" s="209"/>
      <c r="AI64" s="208">
        <f>IF(AI$59=$M14,FV($U$6,$M14-1,,-$S14,0),0)</f>
        <v>0</v>
      </c>
      <c r="AJ64" s="209"/>
      <c r="AK64" s="208">
        <f>IF(AK$59=$M14,FV($U$6,$M14-1,,-$S14,0),0)</f>
        <v>0</v>
      </c>
      <c r="AL64" s="247"/>
      <c r="AM64" s="181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  <c r="BG64" s="140"/>
      <c r="BH64" s="140"/>
      <c r="BI64" s="140"/>
      <c r="BJ64" s="140"/>
      <c r="BK64" s="140"/>
      <c r="BL64" s="140"/>
      <c r="BM64" s="140"/>
      <c r="BN64" s="140"/>
      <c r="BO64" s="140"/>
      <c r="BP64" s="140"/>
      <c r="BQ64" s="140"/>
      <c r="BR64" s="140"/>
      <c r="BS64" s="140"/>
      <c r="BT64" s="140"/>
      <c r="BU64" s="140"/>
      <c r="BV64" s="140"/>
      <c r="BW64" s="140"/>
      <c r="BX64" s="140"/>
      <c r="BY64" s="140"/>
      <c r="BZ64" s="140"/>
      <c r="CA64" s="140"/>
      <c r="CB64" s="140"/>
    </row>
    <row r="65" spans="1:80" x14ac:dyDescent="0.35">
      <c r="A65" s="168">
        <f t="shared" si="47"/>
        <v>2</v>
      </c>
      <c r="B65" s="169"/>
      <c r="C65" s="174">
        <f t="shared" si="48"/>
        <v>1</v>
      </c>
      <c r="D65" s="171"/>
      <c r="E65" s="168" t="str">
        <f t="shared" si="49"/>
        <v>x</v>
      </c>
      <c r="F65" s="169"/>
      <c r="G65" s="169" t="str">
        <f t="shared" si="50"/>
        <v>x</v>
      </c>
      <c r="H65" s="169"/>
      <c r="I65" s="208">
        <f t="shared" si="51"/>
        <v>0</v>
      </c>
      <c r="J65" s="209"/>
      <c r="K65" s="208">
        <f t="shared" si="52"/>
        <v>0</v>
      </c>
      <c r="L65" s="209"/>
      <c r="M65" s="208">
        <f>IF(M$59=$M15,FV($U$6,$M15-1,,-$S15,0),0)</f>
        <v>0</v>
      </c>
      <c r="N65" s="209"/>
      <c r="O65" s="208">
        <f>IF(O$59=$M15,FV($U$6,$M15-1,,-$S15,0),0)</f>
        <v>0</v>
      </c>
      <c r="P65" s="209"/>
      <c r="Q65" s="208">
        <f>IF(Q$59=$M15,FV($U$6,$M15-1,,-$S15,0),0)</f>
        <v>0</v>
      </c>
      <c r="R65" s="209"/>
      <c r="S65" s="208">
        <f>IF(S$59=$M15,FV($U$6,$M15-1,,-$S15,0),0)</f>
        <v>0</v>
      </c>
      <c r="T65" s="209"/>
      <c r="U65" s="208">
        <f>IF(U$59=$M15,FV($U$6,$M15-1,,-$S15,0),0)</f>
        <v>0</v>
      </c>
      <c r="V65" s="209"/>
      <c r="W65" s="208">
        <f>IF(W$59=$M15,FV($U$6,$M15-1,,-$S15,0),0)</f>
        <v>0</v>
      </c>
      <c r="X65" s="209"/>
      <c r="Y65" s="208">
        <f>IF(Y$59=$M15,FV($U$6,$M15-1,,-$S15,0),0)</f>
        <v>0</v>
      </c>
      <c r="Z65" s="209"/>
      <c r="AA65" s="208">
        <f>IF(AA$59=$M15,FV($U$6,$M15-1,,-$S15,0),0)</f>
        <v>0</v>
      </c>
      <c r="AB65" s="209"/>
      <c r="AC65" s="208">
        <f>IF(AC$59=$M15,FV($U$6,$M15-1,,-$S15,0),0)</f>
        <v>0</v>
      </c>
      <c r="AD65" s="209"/>
      <c r="AE65" s="208">
        <f>IF(AE$59=$M15,FV($U$6,$M15-1,,-$S15,0),0)</f>
        <v>0</v>
      </c>
      <c r="AF65" s="209"/>
      <c r="AG65" s="208">
        <f>IF(AG$59=$M15,FV($U$6,$M15-1,,-$S15,0),0)</f>
        <v>0</v>
      </c>
      <c r="AH65" s="209"/>
      <c r="AI65" s="208">
        <f>IF(AI$59=$M15,FV($U$6,$M15-1,,-$S15,0),0)</f>
        <v>0</v>
      </c>
      <c r="AJ65" s="209"/>
      <c r="AK65" s="208">
        <f>IF(AK$59=$M15,FV($U$6,$M15-1,,-$S15,0),0)</f>
        <v>0</v>
      </c>
      <c r="AL65" s="247"/>
      <c r="AM65" s="181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140"/>
      <c r="BN65" s="140"/>
      <c r="BO65" s="140"/>
      <c r="BP65" s="140"/>
      <c r="BQ65" s="140"/>
      <c r="BR65" s="140"/>
      <c r="BS65" s="140"/>
      <c r="BT65" s="140"/>
      <c r="BU65" s="140"/>
      <c r="BV65" s="140"/>
      <c r="BW65" s="140"/>
      <c r="BX65" s="140"/>
      <c r="BY65" s="140"/>
      <c r="BZ65" s="140"/>
      <c r="CA65" s="140"/>
      <c r="CB65" s="140"/>
    </row>
    <row r="66" spans="1:80" x14ac:dyDescent="0.35">
      <c r="A66" s="168">
        <f t="shared" si="47"/>
        <v>3</v>
      </c>
      <c r="B66" s="169"/>
      <c r="C66" s="174">
        <f t="shared" si="48"/>
        <v>1</v>
      </c>
      <c r="D66" s="171"/>
      <c r="E66" s="168" t="str">
        <f t="shared" si="49"/>
        <v>x</v>
      </c>
      <c r="F66" s="169"/>
      <c r="G66" s="169" t="str">
        <f t="shared" si="50"/>
        <v>x</v>
      </c>
      <c r="H66" s="169"/>
      <c r="I66" s="208">
        <f t="shared" si="51"/>
        <v>0</v>
      </c>
      <c r="J66" s="209"/>
      <c r="K66" s="208">
        <f t="shared" si="52"/>
        <v>0</v>
      </c>
      <c r="L66" s="209"/>
      <c r="M66" s="208">
        <f>IF(M$59=$M16,FV($U$6,$M16-1,,-$S16,0),0)</f>
        <v>0</v>
      </c>
      <c r="N66" s="209"/>
      <c r="O66" s="208">
        <f>IF(O$59=$M16,FV($U$6,$M16-1,,-$S16,0),0)</f>
        <v>0</v>
      </c>
      <c r="P66" s="209"/>
      <c r="Q66" s="208">
        <f>IF(Q$59=$M16,FV($U$6,$M16-1,,-$S16,0),0)</f>
        <v>0</v>
      </c>
      <c r="R66" s="209"/>
      <c r="S66" s="208">
        <f>IF(S$59=$M16,FV($U$6,$M16-1,,-$S16,0),0)</f>
        <v>0</v>
      </c>
      <c r="T66" s="209"/>
      <c r="U66" s="208">
        <f>IF(U$59=$M16,FV($U$6,$M16-1,,-$S16,0),0)</f>
        <v>0</v>
      </c>
      <c r="V66" s="209"/>
      <c r="W66" s="208">
        <f>IF(W$59=$M16,FV($U$6,$M16-1,,-$S16,0),0)</f>
        <v>0</v>
      </c>
      <c r="X66" s="209"/>
      <c r="Y66" s="208">
        <f>IF(Y$59=$M16,FV($U$6,$M16-1,,-$S16,0),0)</f>
        <v>0</v>
      </c>
      <c r="Z66" s="209"/>
      <c r="AA66" s="208">
        <f>IF(AA$59=$M16,FV($U$6,$M16-1,,-$S16,0),0)</f>
        <v>0</v>
      </c>
      <c r="AB66" s="209"/>
      <c r="AC66" s="208">
        <f>IF(AC$59=$M16,FV($U$6,$M16-1,,-$S16,0),0)</f>
        <v>0</v>
      </c>
      <c r="AD66" s="209"/>
      <c r="AE66" s="208">
        <f>IF(AE$59=$M16,FV($U$6,$M16-1,,-$S16,0),0)</f>
        <v>0</v>
      </c>
      <c r="AF66" s="209"/>
      <c r="AG66" s="208">
        <f>IF(AG$59=$M16,FV($U$6,$M16-1,,-$S16,0),0)</f>
        <v>0</v>
      </c>
      <c r="AH66" s="209"/>
      <c r="AI66" s="208">
        <f>IF(AI$59=$M16,FV($U$6,$M16-1,,-$S16,0),0)</f>
        <v>0</v>
      </c>
      <c r="AJ66" s="209"/>
      <c r="AK66" s="208">
        <f>IF(AK$59=$M16,FV($U$6,$M16-1,,-$S16,0),0)</f>
        <v>0</v>
      </c>
      <c r="AL66" s="247"/>
      <c r="AM66" s="181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  <c r="BH66" s="140"/>
      <c r="BI66" s="140"/>
      <c r="BJ66" s="140"/>
      <c r="BK66" s="140"/>
      <c r="BL66" s="140"/>
      <c r="BM66" s="140"/>
      <c r="BN66" s="140"/>
      <c r="BO66" s="140"/>
      <c r="BP66" s="140"/>
      <c r="BQ66" s="140"/>
      <c r="BR66" s="140"/>
      <c r="BS66" s="140"/>
      <c r="BT66" s="140"/>
      <c r="BU66" s="140"/>
      <c r="BV66" s="140"/>
      <c r="BW66" s="140"/>
      <c r="BX66" s="140"/>
      <c r="BY66" s="140"/>
      <c r="BZ66" s="140"/>
      <c r="CA66" s="140"/>
      <c r="CB66" s="140"/>
    </row>
    <row r="67" spans="1:80" x14ac:dyDescent="0.35">
      <c r="A67" s="135">
        <f t="shared" si="47"/>
        <v>4</v>
      </c>
      <c r="C67" s="178">
        <f t="shared" si="48"/>
        <v>1</v>
      </c>
      <c r="E67" s="135" t="str">
        <f t="shared" si="49"/>
        <v>x</v>
      </c>
      <c r="G67" s="136" t="str">
        <f t="shared" si="50"/>
        <v>x</v>
      </c>
      <c r="I67" s="213">
        <f t="shared" si="51"/>
        <v>0</v>
      </c>
      <c r="J67" s="247"/>
      <c r="K67" s="213">
        <f t="shared" si="52"/>
        <v>0</v>
      </c>
      <c r="L67" s="247"/>
      <c r="M67" s="213">
        <f t="shared" ref="M67:AK82" si="53">IF(M$59=$M17,FV($U$6,$M17-1,,-$S17,0),0)</f>
        <v>0</v>
      </c>
      <c r="N67" s="247"/>
      <c r="O67" s="213">
        <f t="shared" si="53"/>
        <v>0</v>
      </c>
      <c r="P67" s="247"/>
      <c r="Q67" s="213">
        <f t="shared" si="53"/>
        <v>0</v>
      </c>
      <c r="R67" s="247"/>
      <c r="S67" s="213">
        <f t="shared" si="53"/>
        <v>0</v>
      </c>
      <c r="T67" s="247"/>
      <c r="U67" s="213">
        <f t="shared" si="53"/>
        <v>0</v>
      </c>
      <c r="V67" s="247"/>
      <c r="W67" s="213">
        <f t="shared" si="53"/>
        <v>0</v>
      </c>
      <c r="X67" s="247"/>
      <c r="Y67" s="213">
        <f t="shared" si="53"/>
        <v>0</v>
      </c>
      <c r="Z67" s="247"/>
      <c r="AA67" s="213">
        <f t="shared" si="53"/>
        <v>0</v>
      </c>
      <c r="AB67" s="247"/>
      <c r="AC67" s="213">
        <f t="shared" si="53"/>
        <v>0</v>
      </c>
      <c r="AD67" s="247"/>
      <c r="AE67" s="213">
        <f t="shared" si="53"/>
        <v>0</v>
      </c>
      <c r="AF67" s="247"/>
      <c r="AG67" s="213">
        <f t="shared" si="53"/>
        <v>0</v>
      </c>
      <c r="AH67" s="247"/>
      <c r="AI67" s="213">
        <f t="shared" si="53"/>
        <v>0</v>
      </c>
      <c r="AJ67" s="247"/>
      <c r="AK67" s="213">
        <f t="shared" si="53"/>
        <v>0</v>
      </c>
      <c r="AL67" s="247"/>
      <c r="AM67" s="181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  <c r="BE67" s="140"/>
      <c r="BF67" s="140"/>
      <c r="BG67" s="140"/>
      <c r="BH67" s="140"/>
      <c r="BI67" s="140"/>
      <c r="BJ67" s="140"/>
      <c r="BK67" s="140"/>
      <c r="BL67" s="140"/>
      <c r="BM67" s="140"/>
      <c r="BN67" s="140"/>
      <c r="BO67" s="140"/>
      <c r="BP67" s="140"/>
      <c r="BQ67" s="140"/>
      <c r="BR67" s="140"/>
      <c r="BS67" s="140"/>
      <c r="BT67" s="140"/>
      <c r="BU67" s="140"/>
      <c r="BV67" s="140"/>
      <c r="BW67" s="140"/>
      <c r="BX67" s="140"/>
      <c r="BY67" s="140"/>
      <c r="BZ67" s="140"/>
      <c r="CA67" s="140"/>
      <c r="CB67" s="140"/>
    </row>
    <row r="68" spans="1:80" x14ac:dyDescent="0.35">
      <c r="A68" s="135">
        <f t="shared" si="47"/>
        <v>5</v>
      </c>
      <c r="C68" s="178">
        <f t="shared" si="48"/>
        <v>1</v>
      </c>
      <c r="E68" s="135" t="str">
        <f t="shared" si="49"/>
        <v>x</v>
      </c>
      <c r="G68" s="136" t="str">
        <f t="shared" si="50"/>
        <v>x</v>
      </c>
      <c r="I68" s="213">
        <f t="shared" si="51"/>
        <v>0</v>
      </c>
      <c r="J68" s="247"/>
      <c r="K68" s="213">
        <f t="shared" si="52"/>
        <v>0</v>
      </c>
      <c r="L68" s="247"/>
      <c r="M68" s="213">
        <f t="shared" si="53"/>
        <v>0</v>
      </c>
      <c r="N68" s="247"/>
      <c r="O68" s="213">
        <f t="shared" si="53"/>
        <v>0</v>
      </c>
      <c r="P68" s="247"/>
      <c r="Q68" s="213">
        <f t="shared" si="53"/>
        <v>0</v>
      </c>
      <c r="R68" s="247"/>
      <c r="S68" s="213">
        <f t="shared" si="53"/>
        <v>0</v>
      </c>
      <c r="T68" s="247"/>
      <c r="U68" s="213">
        <f t="shared" si="53"/>
        <v>0</v>
      </c>
      <c r="V68" s="247"/>
      <c r="W68" s="213">
        <f t="shared" si="53"/>
        <v>0</v>
      </c>
      <c r="X68" s="247"/>
      <c r="Y68" s="213">
        <f t="shared" si="53"/>
        <v>0</v>
      </c>
      <c r="Z68" s="247"/>
      <c r="AA68" s="213">
        <f t="shared" si="53"/>
        <v>0</v>
      </c>
      <c r="AB68" s="247"/>
      <c r="AC68" s="213">
        <f t="shared" si="53"/>
        <v>0</v>
      </c>
      <c r="AD68" s="247"/>
      <c r="AE68" s="213">
        <f t="shared" si="53"/>
        <v>0</v>
      </c>
      <c r="AF68" s="247"/>
      <c r="AG68" s="213">
        <f t="shared" si="53"/>
        <v>0</v>
      </c>
      <c r="AH68" s="247"/>
      <c r="AI68" s="213">
        <f t="shared" si="53"/>
        <v>0</v>
      </c>
      <c r="AJ68" s="247"/>
      <c r="AK68" s="213">
        <f t="shared" si="53"/>
        <v>0</v>
      </c>
      <c r="AL68" s="247"/>
      <c r="AM68" s="181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0"/>
      <c r="BN68" s="140"/>
      <c r="BO68" s="140"/>
      <c r="BP68" s="140"/>
      <c r="BQ68" s="140"/>
      <c r="BR68" s="140"/>
      <c r="BS68" s="140"/>
      <c r="BT68" s="140"/>
      <c r="BU68" s="140"/>
      <c r="BV68" s="140"/>
      <c r="BW68" s="140"/>
      <c r="BX68" s="140"/>
      <c r="BY68" s="140"/>
      <c r="BZ68" s="140"/>
      <c r="CA68" s="140"/>
      <c r="CB68" s="140"/>
    </row>
    <row r="69" spans="1:80" x14ac:dyDescent="0.35">
      <c r="A69" s="135">
        <f t="shared" si="47"/>
        <v>6</v>
      </c>
      <c r="C69" s="178">
        <f t="shared" si="48"/>
        <v>1</v>
      </c>
      <c r="E69" s="135" t="str">
        <f t="shared" si="49"/>
        <v>x</v>
      </c>
      <c r="G69" s="136" t="str">
        <f t="shared" si="50"/>
        <v>x</v>
      </c>
      <c r="I69" s="213">
        <f t="shared" si="51"/>
        <v>0</v>
      </c>
      <c r="J69" s="247"/>
      <c r="K69" s="213">
        <f t="shared" si="52"/>
        <v>0</v>
      </c>
      <c r="L69" s="247"/>
      <c r="M69" s="213">
        <f t="shared" si="53"/>
        <v>0</v>
      </c>
      <c r="N69" s="247"/>
      <c r="O69" s="213">
        <f t="shared" si="53"/>
        <v>0</v>
      </c>
      <c r="P69" s="247"/>
      <c r="Q69" s="213">
        <f t="shared" si="53"/>
        <v>0</v>
      </c>
      <c r="R69" s="247"/>
      <c r="S69" s="213">
        <f t="shared" si="53"/>
        <v>0</v>
      </c>
      <c r="T69" s="247"/>
      <c r="U69" s="213">
        <f t="shared" si="53"/>
        <v>0</v>
      </c>
      <c r="V69" s="247"/>
      <c r="W69" s="213">
        <f t="shared" si="53"/>
        <v>0</v>
      </c>
      <c r="X69" s="247"/>
      <c r="Y69" s="213">
        <f t="shared" si="53"/>
        <v>0</v>
      </c>
      <c r="Z69" s="247"/>
      <c r="AA69" s="213">
        <f t="shared" si="53"/>
        <v>0</v>
      </c>
      <c r="AB69" s="247"/>
      <c r="AC69" s="213">
        <f t="shared" si="53"/>
        <v>0</v>
      </c>
      <c r="AD69" s="247"/>
      <c r="AE69" s="213">
        <f t="shared" si="53"/>
        <v>0</v>
      </c>
      <c r="AF69" s="247"/>
      <c r="AG69" s="213">
        <f t="shared" si="53"/>
        <v>0</v>
      </c>
      <c r="AH69" s="247"/>
      <c r="AI69" s="213">
        <f t="shared" si="53"/>
        <v>0</v>
      </c>
      <c r="AJ69" s="247"/>
      <c r="AK69" s="213">
        <f t="shared" si="53"/>
        <v>0</v>
      </c>
      <c r="AL69" s="247"/>
      <c r="AM69" s="181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  <c r="BH69" s="140"/>
      <c r="BI69" s="140"/>
      <c r="BJ69" s="140"/>
      <c r="BK69" s="140"/>
      <c r="BL69" s="140"/>
      <c r="BM69" s="140"/>
      <c r="BN69" s="140"/>
      <c r="BO69" s="140"/>
      <c r="BP69" s="140"/>
      <c r="BQ69" s="140"/>
      <c r="BR69" s="140"/>
      <c r="BS69" s="140"/>
      <c r="BT69" s="140"/>
      <c r="BU69" s="140"/>
      <c r="BV69" s="140"/>
      <c r="BW69" s="140"/>
      <c r="BX69" s="140"/>
      <c r="BY69" s="140"/>
      <c r="BZ69" s="140"/>
      <c r="CA69" s="140"/>
      <c r="CB69" s="140"/>
    </row>
    <row r="70" spans="1:80" x14ac:dyDescent="0.35">
      <c r="A70" s="168">
        <f t="shared" si="47"/>
        <v>7</v>
      </c>
      <c r="B70" s="169"/>
      <c r="C70" s="174">
        <f t="shared" si="48"/>
        <v>1</v>
      </c>
      <c r="D70" s="171"/>
      <c r="E70" s="168" t="str">
        <f t="shared" si="49"/>
        <v>x</v>
      </c>
      <c r="F70" s="169"/>
      <c r="G70" s="169" t="str">
        <f t="shared" si="50"/>
        <v>x</v>
      </c>
      <c r="H70" s="169"/>
      <c r="I70" s="208">
        <f t="shared" ref="I70:I87" si="54">IF(I$59=$M20,FV($U$6,$M20-1,,-$S20,0),0)</f>
        <v>0</v>
      </c>
      <c r="J70" s="209"/>
      <c r="K70" s="208">
        <f t="shared" si="52"/>
        <v>0</v>
      </c>
      <c r="L70" s="209"/>
      <c r="M70" s="208">
        <f t="shared" si="53"/>
        <v>0</v>
      </c>
      <c r="N70" s="209"/>
      <c r="O70" s="208">
        <f t="shared" si="53"/>
        <v>0</v>
      </c>
      <c r="P70" s="209"/>
      <c r="Q70" s="208">
        <f t="shared" si="53"/>
        <v>0</v>
      </c>
      <c r="R70" s="209"/>
      <c r="S70" s="208">
        <f t="shared" si="53"/>
        <v>0</v>
      </c>
      <c r="T70" s="209"/>
      <c r="U70" s="208">
        <f t="shared" si="53"/>
        <v>0</v>
      </c>
      <c r="V70" s="209"/>
      <c r="W70" s="208">
        <f t="shared" si="53"/>
        <v>0</v>
      </c>
      <c r="X70" s="209"/>
      <c r="Y70" s="208">
        <f t="shared" si="53"/>
        <v>0</v>
      </c>
      <c r="Z70" s="209"/>
      <c r="AA70" s="208">
        <f t="shared" si="53"/>
        <v>0</v>
      </c>
      <c r="AB70" s="209"/>
      <c r="AC70" s="208">
        <f t="shared" si="53"/>
        <v>0</v>
      </c>
      <c r="AD70" s="209"/>
      <c r="AE70" s="208">
        <f t="shared" si="53"/>
        <v>0</v>
      </c>
      <c r="AF70" s="209"/>
      <c r="AG70" s="208">
        <f t="shared" si="53"/>
        <v>0</v>
      </c>
      <c r="AH70" s="209"/>
      <c r="AI70" s="208">
        <f t="shared" si="53"/>
        <v>0</v>
      </c>
      <c r="AJ70" s="209"/>
      <c r="AK70" s="208">
        <f t="shared" si="53"/>
        <v>0</v>
      </c>
      <c r="AL70" s="247"/>
      <c r="AM70" s="181"/>
    </row>
    <row r="71" spans="1:80" x14ac:dyDescent="0.35">
      <c r="A71" s="168">
        <f t="shared" si="47"/>
        <v>8</v>
      </c>
      <c r="B71" s="169"/>
      <c r="C71" s="174">
        <f t="shared" si="48"/>
        <v>1</v>
      </c>
      <c r="D71" s="171"/>
      <c r="E71" s="168" t="str">
        <f t="shared" si="49"/>
        <v>x</v>
      </c>
      <c r="F71" s="169"/>
      <c r="G71" s="169" t="str">
        <f t="shared" si="50"/>
        <v>x</v>
      </c>
      <c r="H71" s="169"/>
      <c r="I71" s="208">
        <f t="shared" si="54"/>
        <v>0</v>
      </c>
      <c r="J71" s="209"/>
      <c r="K71" s="208">
        <f t="shared" si="52"/>
        <v>0</v>
      </c>
      <c r="L71" s="209"/>
      <c r="M71" s="208">
        <f t="shared" si="53"/>
        <v>0</v>
      </c>
      <c r="N71" s="209"/>
      <c r="O71" s="208">
        <f t="shared" si="53"/>
        <v>0</v>
      </c>
      <c r="P71" s="209"/>
      <c r="Q71" s="208">
        <f t="shared" si="53"/>
        <v>0</v>
      </c>
      <c r="R71" s="209"/>
      <c r="S71" s="208">
        <f t="shared" si="53"/>
        <v>0</v>
      </c>
      <c r="T71" s="209"/>
      <c r="U71" s="208">
        <f t="shared" si="53"/>
        <v>0</v>
      </c>
      <c r="V71" s="209"/>
      <c r="W71" s="208">
        <f t="shared" si="53"/>
        <v>0</v>
      </c>
      <c r="X71" s="209"/>
      <c r="Y71" s="208">
        <f t="shared" si="53"/>
        <v>0</v>
      </c>
      <c r="Z71" s="209"/>
      <c r="AA71" s="208">
        <f t="shared" si="53"/>
        <v>0</v>
      </c>
      <c r="AB71" s="209"/>
      <c r="AC71" s="208">
        <f t="shared" si="53"/>
        <v>0</v>
      </c>
      <c r="AD71" s="209"/>
      <c r="AE71" s="208">
        <f t="shared" si="53"/>
        <v>0</v>
      </c>
      <c r="AF71" s="209"/>
      <c r="AG71" s="208">
        <f t="shared" si="53"/>
        <v>0</v>
      </c>
      <c r="AH71" s="209"/>
      <c r="AI71" s="208">
        <f t="shared" si="53"/>
        <v>0</v>
      </c>
      <c r="AJ71" s="209"/>
      <c r="AK71" s="208">
        <f t="shared" si="53"/>
        <v>0</v>
      </c>
      <c r="AL71" s="247"/>
      <c r="AM71" s="181"/>
    </row>
    <row r="72" spans="1:80" x14ac:dyDescent="0.35">
      <c r="A72" s="168">
        <f t="shared" si="47"/>
        <v>9</v>
      </c>
      <c r="B72" s="169"/>
      <c r="C72" s="174">
        <f t="shared" si="48"/>
        <v>1</v>
      </c>
      <c r="D72" s="171"/>
      <c r="E72" s="168" t="str">
        <f t="shared" si="49"/>
        <v>x</v>
      </c>
      <c r="F72" s="169"/>
      <c r="G72" s="169" t="str">
        <f t="shared" si="50"/>
        <v>x</v>
      </c>
      <c r="H72" s="169"/>
      <c r="I72" s="208">
        <f t="shared" si="54"/>
        <v>0</v>
      </c>
      <c r="J72" s="209"/>
      <c r="K72" s="208">
        <f t="shared" si="52"/>
        <v>0</v>
      </c>
      <c r="L72" s="209"/>
      <c r="M72" s="208">
        <f t="shared" si="53"/>
        <v>0</v>
      </c>
      <c r="N72" s="209"/>
      <c r="O72" s="208">
        <f t="shared" si="53"/>
        <v>0</v>
      </c>
      <c r="P72" s="209"/>
      <c r="Q72" s="208">
        <f t="shared" si="53"/>
        <v>0</v>
      </c>
      <c r="R72" s="209"/>
      <c r="S72" s="208">
        <f t="shared" si="53"/>
        <v>0</v>
      </c>
      <c r="T72" s="209"/>
      <c r="U72" s="208">
        <f t="shared" si="53"/>
        <v>0</v>
      </c>
      <c r="V72" s="209"/>
      <c r="W72" s="208">
        <f t="shared" si="53"/>
        <v>0</v>
      </c>
      <c r="X72" s="209"/>
      <c r="Y72" s="208">
        <f t="shared" si="53"/>
        <v>0</v>
      </c>
      <c r="Z72" s="209"/>
      <c r="AA72" s="208">
        <f t="shared" si="53"/>
        <v>0</v>
      </c>
      <c r="AB72" s="209"/>
      <c r="AC72" s="208">
        <f t="shared" si="53"/>
        <v>0</v>
      </c>
      <c r="AD72" s="209"/>
      <c r="AE72" s="208">
        <f t="shared" si="53"/>
        <v>0</v>
      </c>
      <c r="AF72" s="209"/>
      <c r="AG72" s="208">
        <f t="shared" si="53"/>
        <v>0</v>
      </c>
      <c r="AH72" s="209"/>
      <c r="AI72" s="208">
        <f t="shared" si="53"/>
        <v>0</v>
      </c>
      <c r="AJ72" s="209"/>
      <c r="AK72" s="208">
        <f t="shared" si="53"/>
        <v>0</v>
      </c>
      <c r="AL72" s="247"/>
      <c r="AM72" s="181"/>
    </row>
    <row r="73" spans="1:80" x14ac:dyDescent="0.35">
      <c r="A73" s="180">
        <f t="shared" si="47"/>
        <v>10</v>
      </c>
      <c r="B73" s="181"/>
      <c r="C73" s="178">
        <f t="shared" si="48"/>
        <v>1</v>
      </c>
      <c r="E73" s="135" t="str">
        <f t="shared" si="49"/>
        <v>x</v>
      </c>
      <c r="G73" s="136" t="str">
        <f t="shared" si="50"/>
        <v>x</v>
      </c>
      <c r="H73" s="181"/>
      <c r="I73" s="213">
        <f t="shared" si="54"/>
        <v>0</v>
      </c>
      <c r="J73" s="247"/>
      <c r="K73" s="213">
        <f t="shared" si="52"/>
        <v>0</v>
      </c>
      <c r="L73" s="247"/>
      <c r="M73" s="213">
        <f t="shared" si="53"/>
        <v>0</v>
      </c>
      <c r="N73" s="247"/>
      <c r="O73" s="213">
        <f t="shared" si="53"/>
        <v>0</v>
      </c>
      <c r="P73" s="247"/>
      <c r="Q73" s="213">
        <f t="shared" si="53"/>
        <v>0</v>
      </c>
      <c r="R73" s="247"/>
      <c r="S73" s="213">
        <f t="shared" si="53"/>
        <v>0</v>
      </c>
      <c r="T73" s="247"/>
      <c r="U73" s="213">
        <f t="shared" si="53"/>
        <v>0</v>
      </c>
      <c r="V73" s="247"/>
      <c r="W73" s="213">
        <f t="shared" si="53"/>
        <v>0</v>
      </c>
      <c r="X73" s="247"/>
      <c r="Y73" s="213">
        <f t="shared" si="53"/>
        <v>0</v>
      </c>
      <c r="Z73" s="247"/>
      <c r="AA73" s="213">
        <f t="shared" si="53"/>
        <v>0</v>
      </c>
      <c r="AB73" s="247"/>
      <c r="AC73" s="213">
        <f t="shared" si="53"/>
        <v>0</v>
      </c>
      <c r="AD73" s="247"/>
      <c r="AE73" s="213">
        <f t="shared" si="53"/>
        <v>0</v>
      </c>
      <c r="AF73" s="247"/>
      <c r="AG73" s="213">
        <f t="shared" si="53"/>
        <v>0</v>
      </c>
      <c r="AH73" s="247"/>
      <c r="AI73" s="213">
        <f t="shared" si="53"/>
        <v>0</v>
      </c>
      <c r="AJ73" s="247"/>
      <c r="AK73" s="213">
        <f t="shared" si="53"/>
        <v>0</v>
      </c>
      <c r="AL73" s="247"/>
      <c r="AM73" s="181"/>
    </row>
    <row r="74" spans="1:80" x14ac:dyDescent="0.35">
      <c r="A74" s="180">
        <f t="shared" si="47"/>
        <v>11</v>
      </c>
      <c r="B74" s="181"/>
      <c r="C74" s="178">
        <f t="shared" si="48"/>
        <v>1</v>
      </c>
      <c r="E74" s="135" t="str">
        <f t="shared" si="49"/>
        <v>x</v>
      </c>
      <c r="G74" s="136" t="str">
        <f t="shared" si="50"/>
        <v>x</v>
      </c>
      <c r="H74" s="181"/>
      <c r="I74" s="213">
        <f t="shared" si="54"/>
        <v>0</v>
      </c>
      <c r="J74" s="247"/>
      <c r="K74" s="213">
        <f t="shared" si="52"/>
        <v>0</v>
      </c>
      <c r="L74" s="247"/>
      <c r="M74" s="213">
        <f t="shared" si="53"/>
        <v>0</v>
      </c>
      <c r="N74" s="247"/>
      <c r="O74" s="213">
        <f t="shared" si="53"/>
        <v>0</v>
      </c>
      <c r="P74" s="247"/>
      <c r="Q74" s="213">
        <f t="shared" si="53"/>
        <v>0</v>
      </c>
      <c r="R74" s="247"/>
      <c r="S74" s="213">
        <f t="shared" si="53"/>
        <v>0</v>
      </c>
      <c r="T74" s="247"/>
      <c r="U74" s="213">
        <f t="shared" si="53"/>
        <v>0</v>
      </c>
      <c r="V74" s="247"/>
      <c r="W74" s="213">
        <f t="shared" si="53"/>
        <v>0</v>
      </c>
      <c r="X74" s="247"/>
      <c r="Y74" s="213">
        <f t="shared" si="53"/>
        <v>0</v>
      </c>
      <c r="Z74" s="247"/>
      <c r="AA74" s="213">
        <f t="shared" si="53"/>
        <v>0</v>
      </c>
      <c r="AB74" s="247"/>
      <c r="AC74" s="213">
        <f t="shared" si="53"/>
        <v>0</v>
      </c>
      <c r="AD74" s="247"/>
      <c r="AE74" s="213">
        <f t="shared" si="53"/>
        <v>0</v>
      </c>
      <c r="AF74" s="247"/>
      <c r="AG74" s="213">
        <f t="shared" si="53"/>
        <v>0</v>
      </c>
      <c r="AH74" s="247"/>
      <c r="AI74" s="213">
        <f t="shared" si="53"/>
        <v>0</v>
      </c>
      <c r="AJ74" s="247"/>
      <c r="AK74" s="213">
        <f t="shared" si="53"/>
        <v>0</v>
      </c>
      <c r="AL74" s="247"/>
      <c r="AM74" s="181"/>
    </row>
    <row r="75" spans="1:80" x14ac:dyDescent="0.35">
      <c r="A75" s="180">
        <f t="shared" si="47"/>
        <v>12</v>
      </c>
      <c r="B75" s="181"/>
      <c r="C75" s="178">
        <f t="shared" si="48"/>
        <v>1</v>
      </c>
      <c r="E75" s="135" t="str">
        <f t="shared" si="49"/>
        <v>x</v>
      </c>
      <c r="G75" s="136" t="str">
        <f t="shared" si="50"/>
        <v>x</v>
      </c>
      <c r="H75" s="181"/>
      <c r="I75" s="213">
        <f t="shared" si="54"/>
        <v>0</v>
      </c>
      <c r="J75" s="247"/>
      <c r="K75" s="213">
        <f t="shared" si="52"/>
        <v>0</v>
      </c>
      <c r="L75" s="247"/>
      <c r="M75" s="213">
        <f t="shared" si="53"/>
        <v>0</v>
      </c>
      <c r="N75" s="247"/>
      <c r="O75" s="213">
        <f t="shared" si="53"/>
        <v>0</v>
      </c>
      <c r="P75" s="247"/>
      <c r="Q75" s="213">
        <f t="shared" si="53"/>
        <v>0</v>
      </c>
      <c r="R75" s="247"/>
      <c r="S75" s="213">
        <f t="shared" si="53"/>
        <v>0</v>
      </c>
      <c r="T75" s="247"/>
      <c r="U75" s="213">
        <f t="shared" si="53"/>
        <v>0</v>
      </c>
      <c r="V75" s="247"/>
      <c r="W75" s="213">
        <f t="shared" si="53"/>
        <v>0</v>
      </c>
      <c r="X75" s="247"/>
      <c r="Y75" s="213">
        <f t="shared" si="53"/>
        <v>0</v>
      </c>
      <c r="Z75" s="247"/>
      <c r="AA75" s="213">
        <f t="shared" si="53"/>
        <v>0</v>
      </c>
      <c r="AB75" s="247"/>
      <c r="AC75" s="213">
        <f t="shared" si="53"/>
        <v>0</v>
      </c>
      <c r="AD75" s="247"/>
      <c r="AE75" s="213">
        <f t="shared" si="53"/>
        <v>0</v>
      </c>
      <c r="AF75" s="247"/>
      <c r="AG75" s="213">
        <f t="shared" si="53"/>
        <v>0</v>
      </c>
      <c r="AH75" s="247"/>
      <c r="AI75" s="213">
        <f t="shared" si="53"/>
        <v>0</v>
      </c>
      <c r="AJ75" s="247"/>
      <c r="AK75" s="213">
        <f t="shared" si="53"/>
        <v>0</v>
      </c>
      <c r="AL75" s="247"/>
      <c r="AM75" s="181"/>
    </row>
    <row r="76" spans="1:80" x14ac:dyDescent="0.35">
      <c r="A76" s="168">
        <f t="shared" si="47"/>
        <v>13</v>
      </c>
      <c r="B76" s="169"/>
      <c r="C76" s="174">
        <f t="shared" si="48"/>
        <v>1</v>
      </c>
      <c r="D76" s="171"/>
      <c r="E76" s="168" t="str">
        <f t="shared" si="49"/>
        <v>x</v>
      </c>
      <c r="F76" s="169"/>
      <c r="G76" s="169" t="str">
        <f t="shared" si="50"/>
        <v>x</v>
      </c>
      <c r="H76" s="169"/>
      <c r="I76" s="208">
        <f t="shared" si="54"/>
        <v>0</v>
      </c>
      <c r="J76" s="209"/>
      <c r="K76" s="208">
        <f t="shared" si="52"/>
        <v>0</v>
      </c>
      <c r="L76" s="209"/>
      <c r="M76" s="208">
        <f t="shared" si="53"/>
        <v>0</v>
      </c>
      <c r="N76" s="209"/>
      <c r="O76" s="208">
        <f t="shared" si="53"/>
        <v>0</v>
      </c>
      <c r="P76" s="209"/>
      <c r="Q76" s="208">
        <f t="shared" si="53"/>
        <v>0</v>
      </c>
      <c r="R76" s="209"/>
      <c r="S76" s="208">
        <f t="shared" si="53"/>
        <v>0</v>
      </c>
      <c r="T76" s="209"/>
      <c r="U76" s="208">
        <f t="shared" si="53"/>
        <v>0</v>
      </c>
      <c r="V76" s="209"/>
      <c r="W76" s="208">
        <f t="shared" si="53"/>
        <v>0</v>
      </c>
      <c r="X76" s="209"/>
      <c r="Y76" s="208">
        <f t="shared" si="53"/>
        <v>0</v>
      </c>
      <c r="Z76" s="209"/>
      <c r="AA76" s="208">
        <f t="shared" si="53"/>
        <v>0</v>
      </c>
      <c r="AB76" s="209"/>
      <c r="AC76" s="208">
        <f t="shared" si="53"/>
        <v>0</v>
      </c>
      <c r="AD76" s="209"/>
      <c r="AE76" s="208">
        <f t="shared" si="53"/>
        <v>0</v>
      </c>
      <c r="AF76" s="209"/>
      <c r="AG76" s="208">
        <f t="shared" si="53"/>
        <v>0</v>
      </c>
      <c r="AH76" s="209"/>
      <c r="AI76" s="208">
        <f t="shared" si="53"/>
        <v>0</v>
      </c>
      <c r="AJ76" s="209"/>
      <c r="AK76" s="208">
        <f t="shared" si="53"/>
        <v>0</v>
      </c>
      <c r="AL76" s="247"/>
      <c r="AM76" s="181"/>
    </row>
    <row r="77" spans="1:80" x14ac:dyDescent="0.35">
      <c r="A77" s="168">
        <f t="shared" si="47"/>
        <v>14</v>
      </c>
      <c r="B77" s="169"/>
      <c r="C77" s="174">
        <f t="shared" si="48"/>
        <v>1</v>
      </c>
      <c r="D77" s="171"/>
      <c r="E77" s="168" t="str">
        <f t="shared" si="49"/>
        <v>x</v>
      </c>
      <c r="F77" s="169"/>
      <c r="G77" s="169" t="str">
        <f t="shared" si="50"/>
        <v>x</v>
      </c>
      <c r="H77" s="169"/>
      <c r="I77" s="208">
        <f t="shared" si="54"/>
        <v>0</v>
      </c>
      <c r="J77" s="209"/>
      <c r="K77" s="208">
        <f t="shared" si="52"/>
        <v>0</v>
      </c>
      <c r="L77" s="209"/>
      <c r="M77" s="208">
        <f t="shared" si="53"/>
        <v>0</v>
      </c>
      <c r="N77" s="209"/>
      <c r="O77" s="208">
        <f t="shared" si="53"/>
        <v>0</v>
      </c>
      <c r="P77" s="209"/>
      <c r="Q77" s="208">
        <f t="shared" si="53"/>
        <v>0</v>
      </c>
      <c r="R77" s="209"/>
      <c r="S77" s="208">
        <f t="shared" si="53"/>
        <v>0</v>
      </c>
      <c r="T77" s="209"/>
      <c r="U77" s="208">
        <f t="shared" si="53"/>
        <v>0</v>
      </c>
      <c r="V77" s="209"/>
      <c r="W77" s="208">
        <f t="shared" si="53"/>
        <v>0</v>
      </c>
      <c r="X77" s="209"/>
      <c r="Y77" s="208">
        <f t="shared" si="53"/>
        <v>0</v>
      </c>
      <c r="Z77" s="209"/>
      <c r="AA77" s="208">
        <f t="shared" si="53"/>
        <v>0</v>
      </c>
      <c r="AB77" s="209"/>
      <c r="AC77" s="208">
        <f t="shared" si="53"/>
        <v>0</v>
      </c>
      <c r="AD77" s="209"/>
      <c r="AE77" s="208">
        <f t="shared" si="53"/>
        <v>0</v>
      </c>
      <c r="AF77" s="209"/>
      <c r="AG77" s="208">
        <f t="shared" si="53"/>
        <v>0</v>
      </c>
      <c r="AH77" s="209"/>
      <c r="AI77" s="208">
        <f t="shared" si="53"/>
        <v>0</v>
      </c>
      <c r="AJ77" s="209"/>
      <c r="AK77" s="208">
        <f t="shared" si="53"/>
        <v>0</v>
      </c>
      <c r="AL77" s="247"/>
      <c r="AM77" s="181"/>
    </row>
    <row r="78" spans="1:80" x14ac:dyDescent="0.35">
      <c r="A78" s="168">
        <f t="shared" si="47"/>
        <v>15</v>
      </c>
      <c r="B78" s="169"/>
      <c r="C78" s="174">
        <f t="shared" si="48"/>
        <v>1</v>
      </c>
      <c r="D78" s="171"/>
      <c r="E78" s="168" t="str">
        <f t="shared" si="49"/>
        <v>x</v>
      </c>
      <c r="F78" s="169"/>
      <c r="G78" s="169" t="str">
        <f t="shared" si="50"/>
        <v>x</v>
      </c>
      <c r="H78" s="169"/>
      <c r="I78" s="208">
        <f t="shared" si="54"/>
        <v>0</v>
      </c>
      <c r="J78" s="209"/>
      <c r="K78" s="208">
        <f t="shared" si="52"/>
        <v>0</v>
      </c>
      <c r="L78" s="209"/>
      <c r="M78" s="208">
        <f t="shared" si="53"/>
        <v>0</v>
      </c>
      <c r="N78" s="209"/>
      <c r="O78" s="208">
        <f t="shared" si="53"/>
        <v>0</v>
      </c>
      <c r="P78" s="209"/>
      <c r="Q78" s="208">
        <f t="shared" si="53"/>
        <v>0</v>
      </c>
      <c r="R78" s="209"/>
      <c r="S78" s="208">
        <f t="shared" si="53"/>
        <v>0</v>
      </c>
      <c r="T78" s="209"/>
      <c r="U78" s="208">
        <f t="shared" si="53"/>
        <v>0</v>
      </c>
      <c r="V78" s="209"/>
      <c r="W78" s="208">
        <f t="shared" si="53"/>
        <v>0</v>
      </c>
      <c r="X78" s="209"/>
      <c r="Y78" s="208">
        <f t="shared" si="53"/>
        <v>0</v>
      </c>
      <c r="Z78" s="209"/>
      <c r="AA78" s="208">
        <f t="shared" si="53"/>
        <v>0</v>
      </c>
      <c r="AB78" s="209"/>
      <c r="AC78" s="208">
        <f t="shared" si="53"/>
        <v>0</v>
      </c>
      <c r="AD78" s="209"/>
      <c r="AE78" s="208">
        <f t="shared" si="53"/>
        <v>0</v>
      </c>
      <c r="AF78" s="209"/>
      <c r="AG78" s="208">
        <f t="shared" si="53"/>
        <v>0</v>
      </c>
      <c r="AH78" s="209"/>
      <c r="AI78" s="208">
        <f t="shared" si="53"/>
        <v>0</v>
      </c>
      <c r="AJ78" s="209"/>
      <c r="AK78" s="208">
        <f t="shared" si="53"/>
        <v>0</v>
      </c>
      <c r="AL78" s="247"/>
      <c r="AM78" s="181"/>
    </row>
    <row r="79" spans="1:80" x14ac:dyDescent="0.35">
      <c r="A79" s="180">
        <f t="shared" si="47"/>
        <v>16</v>
      </c>
      <c r="B79" s="181"/>
      <c r="C79" s="178">
        <f t="shared" si="48"/>
        <v>1</v>
      </c>
      <c r="E79" s="135" t="str">
        <f t="shared" si="49"/>
        <v>x</v>
      </c>
      <c r="G79" s="136" t="str">
        <f t="shared" si="50"/>
        <v>x</v>
      </c>
      <c r="H79" s="181"/>
      <c r="I79" s="213">
        <f t="shared" si="54"/>
        <v>0</v>
      </c>
      <c r="J79" s="247"/>
      <c r="K79" s="213">
        <f t="shared" si="52"/>
        <v>0</v>
      </c>
      <c r="L79" s="247"/>
      <c r="M79" s="213">
        <f t="shared" si="53"/>
        <v>0</v>
      </c>
      <c r="N79" s="247"/>
      <c r="O79" s="213">
        <f t="shared" si="53"/>
        <v>0</v>
      </c>
      <c r="P79" s="247"/>
      <c r="Q79" s="213">
        <f t="shared" si="53"/>
        <v>0</v>
      </c>
      <c r="R79" s="247"/>
      <c r="S79" s="213">
        <f t="shared" si="53"/>
        <v>0</v>
      </c>
      <c r="T79" s="247"/>
      <c r="U79" s="213">
        <f t="shared" si="53"/>
        <v>0</v>
      </c>
      <c r="V79" s="247"/>
      <c r="W79" s="213">
        <f t="shared" si="53"/>
        <v>0</v>
      </c>
      <c r="X79" s="247"/>
      <c r="Y79" s="213">
        <f t="shared" si="53"/>
        <v>0</v>
      </c>
      <c r="Z79" s="247"/>
      <c r="AA79" s="213">
        <f t="shared" si="53"/>
        <v>0</v>
      </c>
      <c r="AB79" s="247"/>
      <c r="AC79" s="213">
        <f t="shared" si="53"/>
        <v>0</v>
      </c>
      <c r="AD79" s="247"/>
      <c r="AE79" s="213">
        <f t="shared" si="53"/>
        <v>0</v>
      </c>
      <c r="AF79" s="247"/>
      <c r="AG79" s="213">
        <f t="shared" si="53"/>
        <v>0</v>
      </c>
      <c r="AH79" s="247"/>
      <c r="AI79" s="213">
        <f t="shared" si="53"/>
        <v>0</v>
      </c>
      <c r="AJ79" s="247"/>
      <c r="AK79" s="213">
        <f t="shared" si="53"/>
        <v>0</v>
      </c>
      <c r="AL79" s="247"/>
      <c r="AM79" s="181"/>
    </row>
    <row r="80" spans="1:80" x14ac:dyDescent="0.35">
      <c r="A80" s="180">
        <f t="shared" si="47"/>
        <v>17</v>
      </c>
      <c r="B80" s="181"/>
      <c r="C80" s="178">
        <f t="shared" si="48"/>
        <v>1</v>
      </c>
      <c r="E80" s="135" t="str">
        <f t="shared" si="49"/>
        <v>x</v>
      </c>
      <c r="G80" s="136" t="str">
        <f t="shared" si="50"/>
        <v>x</v>
      </c>
      <c r="H80" s="181"/>
      <c r="I80" s="213">
        <f t="shared" si="54"/>
        <v>0</v>
      </c>
      <c r="J80" s="247"/>
      <c r="K80" s="213">
        <f t="shared" si="52"/>
        <v>0</v>
      </c>
      <c r="L80" s="247"/>
      <c r="M80" s="213">
        <f t="shared" si="53"/>
        <v>0</v>
      </c>
      <c r="N80" s="247"/>
      <c r="O80" s="213">
        <f t="shared" si="53"/>
        <v>0</v>
      </c>
      <c r="P80" s="247"/>
      <c r="Q80" s="213">
        <f t="shared" si="53"/>
        <v>0</v>
      </c>
      <c r="R80" s="247"/>
      <c r="S80" s="213">
        <f t="shared" si="53"/>
        <v>0</v>
      </c>
      <c r="T80" s="247"/>
      <c r="U80" s="213">
        <f t="shared" si="53"/>
        <v>0</v>
      </c>
      <c r="V80" s="247"/>
      <c r="W80" s="213">
        <f t="shared" si="53"/>
        <v>0</v>
      </c>
      <c r="X80" s="247"/>
      <c r="Y80" s="213">
        <f t="shared" si="53"/>
        <v>0</v>
      </c>
      <c r="Z80" s="247"/>
      <c r="AA80" s="213">
        <f t="shared" si="53"/>
        <v>0</v>
      </c>
      <c r="AB80" s="247"/>
      <c r="AC80" s="213">
        <f t="shared" si="53"/>
        <v>0</v>
      </c>
      <c r="AD80" s="247"/>
      <c r="AE80" s="213">
        <f t="shared" si="53"/>
        <v>0</v>
      </c>
      <c r="AF80" s="247"/>
      <c r="AG80" s="213">
        <f t="shared" si="53"/>
        <v>0</v>
      </c>
      <c r="AH80" s="247"/>
      <c r="AI80" s="213">
        <f t="shared" si="53"/>
        <v>0</v>
      </c>
      <c r="AJ80" s="247"/>
      <c r="AK80" s="213">
        <f t="shared" si="53"/>
        <v>0</v>
      </c>
      <c r="AL80" s="247"/>
      <c r="AM80" s="181"/>
    </row>
    <row r="81" spans="1:39" x14ac:dyDescent="0.35">
      <c r="A81" s="180">
        <f t="shared" si="47"/>
        <v>18</v>
      </c>
      <c r="B81" s="181"/>
      <c r="C81" s="178">
        <f t="shared" si="48"/>
        <v>1</v>
      </c>
      <c r="E81" s="135" t="str">
        <f t="shared" si="49"/>
        <v>x</v>
      </c>
      <c r="G81" s="136" t="str">
        <f t="shared" si="50"/>
        <v>x</v>
      </c>
      <c r="H81" s="181"/>
      <c r="I81" s="213">
        <f t="shared" si="54"/>
        <v>0</v>
      </c>
      <c r="J81" s="247"/>
      <c r="K81" s="213">
        <f t="shared" si="52"/>
        <v>0</v>
      </c>
      <c r="L81" s="247"/>
      <c r="M81" s="213">
        <f t="shared" si="53"/>
        <v>0</v>
      </c>
      <c r="N81" s="247"/>
      <c r="O81" s="213">
        <f t="shared" si="53"/>
        <v>0</v>
      </c>
      <c r="P81" s="247"/>
      <c r="Q81" s="213">
        <f t="shared" si="53"/>
        <v>0</v>
      </c>
      <c r="R81" s="247"/>
      <c r="S81" s="213">
        <f t="shared" si="53"/>
        <v>0</v>
      </c>
      <c r="T81" s="247"/>
      <c r="U81" s="213">
        <f t="shared" si="53"/>
        <v>0</v>
      </c>
      <c r="V81" s="247"/>
      <c r="W81" s="213">
        <f t="shared" si="53"/>
        <v>0</v>
      </c>
      <c r="X81" s="247"/>
      <c r="Y81" s="213">
        <f t="shared" si="53"/>
        <v>0</v>
      </c>
      <c r="Z81" s="247"/>
      <c r="AA81" s="213">
        <f t="shared" si="53"/>
        <v>0</v>
      </c>
      <c r="AB81" s="247"/>
      <c r="AC81" s="213">
        <f t="shared" si="53"/>
        <v>0</v>
      </c>
      <c r="AD81" s="247"/>
      <c r="AE81" s="213">
        <f t="shared" si="53"/>
        <v>0</v>
      </c>
      <c r="AF81" s="247"/>
      <c r="AG81" s="213">
        <f t="shared" si="53"/>
        <v>0</v>
      </c>
      <c r="AH81" s="247"/>
      <c r="AI81" s="213">
        <f t="shared" si="53"/>
        <v>0</v>
      </c>
      <c r="AJ81" s="247"/>
      <c r="AK81" s="213">
        <f t="shared" si="53"/>
        <v>0</v>
      </c>
      <c r="AL81" s="247"/>
      <c r="AM81" s="181"/>
    </row>
    <row r="82" spans="1:39" x14ac:dyDescent="0.35">
      <c r="A82" s="168">
        <f t="shared" si="47"/>
        <v>19</v>
      </c>
      <c r="B82" s="169"/>
      <c r="C82" s="174">
        <f t="shared" si="48"/>
        <v>1</v>
      </c>
      <c r="D82" s="171"/>
      <c r="E82" s="168" t="str">
        <f t="shared" si="49"/>
        <v>x</v>
      </c>
      <c r="F82" s="169"/>
      <c r="G82" s="169" t="str">
        <f t="shared" si="50"/>
        <v>x</v>
      </c>
      <c r="H82" s="169"/>
      <c r="I82" s="208">
        <f t="shared" si="54"/>
        <v>0</v>
      </c>
      <c r="J82" s="209"/>
      <c r="K82" s="208">
        <f t="shared" si="52"/>
        <v>0</v>
      </c>
      <c r="L82" s="209"/>
      <c r="M82" s="208">
        <f t="shared" si="53"/>
        <v>0</v>
      </c>
      <c r="N82" s="209"/>
      <c r="O82" s="208">
        <f t="shared" si="53"/>
        <v>0</v>
      </c>
      <c r="P82" s="209"/>
      <c r="Q82" s="208">
        <f t="shared" si="53"/>
        <v>0</v>
      </c>
      <c r="R82" s="209"/>
      <c r="S82" s="208">
        <f t="shared" si="53"/>
        <v>0</v>
      </c>
      <c r="T82" s="209"/>
      <c r="U82" s="208">
        <f t="shared" si="53"/>
        <v>0</v>
      </c>
      <c r="V82" s="209"/>
      <c r="W82" s="208">
        <f t="shared" si="53"/>
        <v>0</v>
      </c>
      <c r="X82" s="209"/>
      <c r="Y82" s="208">
        <f t="shared" si="53"/>
        <v>0</v>
      </c>
      <c r="Z82" s="209"/>
      <c r="AA82" s="208">
        <f t="shared" si="53"/>
        <v>0</v>
      </c>
      <c r="AB82" s="209"/>
      <c r="AC82" s="208">
        <f t="shared" si="53"/>
        <v>0</v>
      </c>
      <c r="AD82" s="209"/>
      <c r="AE82" s="208">
        <f t="shared" si="53"/>
        <v>0</v>
      </c>
      <c r="AF82" s="209"/>
      <c r="AG82" s="208">
        <f t="shared" si="53"/>
        <v>0</v>
      </c>
      <c r="AH82" s="209"/>
      <c r="AI82" s="208">
        <f t="shared" si="53"/>
        <v>0</v>
      </c>
      <c r="AJ82" s="209"/>
      <c r="AK82" s="208">
        <f t="shared" si="53"/>
        <v>0</v>
      </c>
      <c r="AL82" s="247"/>
      <c r="AM82" s="181"/>
    </row>
    <row r="83" spans="1:39" x14ac:dyDescent="0.35">
      <c r="A83" s="168">
        <f t="shared" si="47"/>
        <v>20</v>
      </c>
      <c r="B83" s="169"/>
      <c r="C83" s="174">
        <f t="shared" si="48"/>
        <v>1</v>
      </c>
      <c r="D83" s="171"/>
      <c r="E83" s="168" t="str">
        <f t="shared" si="49"/>
        <v>x</v>
      </c>
      <c r="F83" s="169"/>
      <c r="G83" s="169" t="str">
        <f t="shared" si="50"/>
        <v>x</v>
      </c>
      <c r="H83" s="169"/>
      <c r="I83" s="208">
        <f t="shared" si="54"/>
        <v>0</v>
      </c>
      <c r="J83" s="209"/>
      <c r="K83" s="208">
        <f t="shared" si="52"/>
        <v>0</v>
      </c>
      <c r="L83" s="209"/>
      <c r="M83" s="208">
        <f t="shared" ref="M83:AK87" si="55">IF(M$59=$M33,FV($U$6,$M33-1,,-$S33,0),0)</f>
        <v>0</v>
      </c>
      <c r="N83" s="209"/>
      <c r="O83" s="208">
        <f t="shared" si="55"/>
        <v>0</v>
      </c>
      <c r="P83" s="209"/>
      <c r="Q83" s="208">
        <f t="shared" si="55"/>
        <v>0</v>
      </c>
      <c r="R83" s="209"/>
      <c r="S83" s="208">
        <f t="shared" si="55"/>
        <v>0</v>
      </c>
      <c r="T83" s="209"/>
      <c r="U83" s="208">
        <f t="shared" si="55"/>
        <v>0</v>
      </c>
      <c r="V83" s="209"/>
      <c r="W83" s="208">
        <f t="shared" si="55"/>
        <v>0</v>
      </c>
      <c r="X83" s="209"/>
      <c r="Y83" s="208">
        <f t="shared" si="55"/>
        <v>0</v>
      </c>
      <c r="Z83" s="209"/>
      <c r="AA83" s="208">
        <f t="shared" si="55"/>
        <v>0</v>
      </c>
      <c r="AB83" s="209"/>
      <c r="AC83" s="208">
        <f t="shared" si="55"/>
        <v>0</v>
      </c>
      <c r="AD83" s="209"/>
      <c r="AE83" s="208">
        <f t="shared" si="55"/>
        <v>0</v>
      </c>
      <c r="AF83" s="209"/>
      <c r="AG83" s="208">
        <f t="shared" si="55"/>
        <v>0</v>
      </c>
      <c r="AH83" s="209"/>
      <c r="AI83" s="208">
        <f t="shared" si="55"/>
        <v>0</v>
      </c>
      <c r="AJ83" s="209"/>
      <c r="AK83" s="208">
        <f t="shared" si="55"/>
        <v>0</v>
      </c>
      <c r="AL83" s="247"/>
      <c r="AM83" s="181"/>
    </row>
    <row r="84" spans="1:39" x14ac:dyDescent="0.35">
      <c r="A84" s="168">
        <f t="shared" si="47"/>
        <v>21</v>
      </c>
      <c r="B84" s="169"/>
      <c r="C84" s="174">
        <f t="shared" si="48"/>
        <v>1</v>
      </c>
      <c r="D84" s="171"/>
      <c r="E84" s="168" t="str">
        <f t="shared" si="49"/>
        <v>x</v>
      </c>
      <c r="F84" s="169"/>
      <c r="G84" s="169" t="str">
        <f t="shared" si="50"/>
        <v>x</v>
      </c>
      <c r="H84" s="169"/>
      <c r="I84" s="208">
        <f t="shared" si="54"/>
        <v>0</v>
      </c>
      <c r="J84" s="209"/>
      <c r="K84" s="208">
        <f t="shared" si="52"/>
        <v>0</v>
      </c>
      <c r="L84" s="209"/>
      <c r="M84" s="208">
        <f t="shared" si="55"/>
        <v>0</v>
      </c>
      <c r="N84" s="209"/>
      <c r="O84" s="208">
        <f t="shared" si="55"/>
        <v>0</v>
      </c>
      <c r="P84" s="209"/>
      <c r="Q84" s="208">
        <f t="shared" si="55"/>
        <v>0</v>
      </c>
      <c r="R84" s="209"/>
      <c r="S84" s="208">
        <f t="shared" si="55"/>
        <v>0</v>
      </c>
      <c r="T84" s="209"/>
      <c r="U84" s="208">
        <f t="shared" si="55"/>
        <v>0</v>
      </c>
      <c r="V84" s="209"/>
      <c r="W84" s="208">
        <f t="shared" si="55"/>
        <v>0</v>
      </c>
      <c r="X84" s="209"/>
      <c r="Y84" s="208">
        <f t="shared" si="55"/>
        <v>0</v>
      </c>
      <c r="Z84" s="209"/>
      <c r="AA84" s="208">
        <f t="shared" si="55"/>
        <v>0</v>
      </c>
      <c r="AB84" s="209"/>
      <c r="AC84" s="208">
        <f t="shared" si="55"/>
        <v>0</v>
      </c>
      <c r="AD84" s="209"/>
      <c r="AE84" s="208">
        <f t="shared" si="55"/>
        <v>0</v>
      </c>
      <c r="AF84" s="209"/>
      <c r="AG84" s="208">
        <f t="shared" si="55"/>
        <v>0</v>
      </c>
      <c r="AH84" s="209"/>
      <c r="AI84" s="208">
        <f t="shared" si="55"/>
        <v>0</v>
      </c>
      <c r="AJ84" s="209"/>
      <c r="AK84" s="208">
        <f t="shared" si="55"/>
        <v>0</v>
      </c>
      <c r="AL84" s="247"/>
      <c r="AM84" s="181"/>
    </row>
    <row r="85" spans="1:39" x14ac:dyDescent="0.35">
      <c r="A85" s="180">
        <f t="shared" si="47"/>
        <v>22</v>
      </c>
      <c r="B85" s="181"/>
      <c r="C85" s="178">
        <f t="shared" si="48"/>
        <v>1</v>
      </c>
      <c r="E85" s="135" t="str">
        <f t="shared" si="49"/>
        <v>x</v>
      </c>
      <c r="G85" s="136" t="str">
        <f t="shared" si="50"/>
        <v>x</v>
      </c>
      <c r="H85" s="181"/>
      <c r="I85" s="213">
        <f t="shared" si="54"/>
        <v>0</v>
      </c>
      <c r="J85" s="247"/>
      <c r="K85" s="213">
        <f t="shared" si="52"/>
        <v>0</v>
      </c>
      <c r="L85" s="247"/>
      <c r="M85" s="213">
        <f t="shared" si="55"/>
        <v>0</v>
      </c>
      <c r="N85" s="247"/>
      <c r="O85" s="213">
        <f t="shared" si="55"/>
        <v>0</v>
      </c>
      <c r="P85" s="247"/>
      <c r="Q85" s="213">
        <f t="shared" si="55"/>
        <v>0</v>
      </c>
      <c r="R85" s="247"/>
      <c r="S85" s="213">
        <f t="shared" si="55"/>
        <v>0</v>
      </c>
      <c r="T85" s="247"/>
      <c r="U85" s="213">
        <f t="shared" si="55"/>
        <v>0</v>
      </c>
      <c r="V85" s="247"/>
      <c r="W85" s="213">
        <f t="shared" si="55"/>
        <v>0</v>
      </c>
      <c r="X85" s="247"/>
      <c r="Y85" s="213">
        <f t="shared" si="55"/>
        <v>0</v>
      </c>
      <c r="Z85" s="247"/>
      <c r="AA85" s="213">
        <f t="shared" si="55"/>
        <v>0</v>
      </c>
      <c r="AB85" s="247"/>
      <c r="AC85" s="213">
        <f t="shared" si="55"/>
        <v>0</v>
      </c>
      <c r="AD85" s="247"/>
      <c r="AE85" s="213">
        <f t="shared" si="55"/>
        <v>0</v>
      </c>
      <c r="AF85" s="247"/>
      <c r="AG85" s="213">
        <f t="shared" si="55"/>
        <v>0</v>
      </c>
      <c r="AH85" s="247"/>
      <c r="AI85" s="213">
        <f t="shared" si="55"/>
        <v>0</v>
      </c>
      <c r="AJ85" s="247"/>
      <c r="AK85" s="213">
        <f t="shared" si="55"/>
        <v>0</v>
      </c>
      <c r="AL85" s="247"/>
      <c r="AM85" s="181"/>
    </row>
    <row r="86" spans="1:39" x14ac:dyDescent="0.35">
      <c r="A86" s="180">
        <f t="shared" si="47"/>
        <v>23</v>
      </c>
      <c r="B86" s="181"/>
      <c r="C86" s="178">
        <f t="shared" si="48"/>
        <v>1</v>
      </c>
      <c r="E86" s="135" t="str">
        <f t="shared" si="49"/>
        <v>x</v>
      </c>
      <c r="G86" s="136" t="str">
        <f t="shared" si="50"/>
        <v>x</v>
      </c>
      <c r="H86" s="181"/>
      <c r="I86" s="213">
        <f t="shared" si="54"/>
        <v>0</v>
      </c>
      <c r="J86" s="247"/>
      <c r="K86" s="213">
        <f t="shared" si="52"/>
        <v>0</v>
      </c>
      <c r="L86" s="247"/>
      <c r="M86" s="213">
        <f t="shared" si="55"/>
        <v>0</v>
      </c>
      <c r="N86" s="247"/>
      <c r="O86" s="213">
        <f t="shared" si="55"/>
        <v>0</v>
      </c>
      <c r="P86" s="247"/>
      <c r="Q86" s="213">
        <f t="shared" si="55"/>
        <v>0</v>
      </c>
      <c r="R86" s="247"/>
      <c r="S86" s="213">
        <f t="shared" si="55"/>
        <v>0</v>
      </c>
      <c r="T86" s="247"/>
      <c r="U86" s="213">
        <f t="shared" si="55"/>
        <v>0</v>
      </c>
      <c r="V86" s="247"/>
      <c r="W86" s="213">
        <f t="shared" si="55"/>
        <v>0</v>
      </c>
      <c r="X86" s="247"/>
      <c r="Y86" s="213">
        <f t="shared" si="55"/>
        <v>0</v>
      </c>
      <c r="Z86" s="247"/>
      <c r="AA86" s="213">
        <f t="shared" si="55"/>
        <v>0</v>
      </c>
      <c r="AB86" s="247"/>
      <c r="AC86" s="213">
        <f t="shared" si="55"/>
        <v>0</v>
      </c>
      <c r="AD86" s="247"/>
      <c r="AE86" s="213">
        <f t="shared" si="55"/>
        <v>0</v>
      </c>
      <c r="AF86" s="247"/>
      <c r="AG86" s="213">
        <f t="shared" si="55"/>
        <v>0</v>
      </c>
      <c r="AH86" s="247"/>
      <c r="AI86" s="213">
        <f t="shared" si="55"/>
        <v>0</v>
      </c>
      <c r="AJ86" s="247"/>
      <c r="AK86" s="213">
        <f t="shared" si="55"/>
        <v>0</v>
      </c>
      <c r="AL86" s="247"/>
      <c r="AM86" s="181"/>
    </row>
    <row r="87" spans="1:39" x14ac:dyDescent="0.35">
      <c r="A87" s="180">
        <f t="shared" si="47"/>
        <v>24</v>
      </c>
      <c r="B87" s="181"/>
      <c r="C87" s="178">
        <f t="shared" si="48"/>
        <v>1</v>
      </c>
      <c r="E87" s="135" t="str">
        <f t="shared" si="49"/>
        <v>x</v>
      </c>
      <c r="G87" s="136" t="str">
        <f t="shared" si="50"/>
        <v>x</v>
      </c>
      <c r="H87" s="181"/>
      <c r="I87" s="213">
        <f t="shared" si="54"/>
        <v>0</v>
      </c>
      <c r="J87" s="247"/>
      <c r="K87" s="213">
        <f t="shared" si="52"/>
        <v>0</v>
      </c>
      <c r="L87" s="247"/>
      <c r="M87" s="213">
        <f t="shared" si="55"/>
        <v>0</v>
      </c>
      <c r="N87" s="247"/>
      <c r="O87" s="213">
        <f t="shared" si="55"/>
        <v>0</v>
      </c>
      <c r="P87" s="247"/>
      <c r="Q87" s="213">
        <f t="shared" si="55"/>
        <v>0</v>
      </c>
      <c r="R87" s="247"/>
      <c r="S87" s="213">
        <f t="shared" si="55"/>
        <v>0</v>
      </c>
      <c r="T87" s="247"/>
      <c r="U87" s="213">
        <f t="shared" si="55"/>
        <v>0</v>
      </c>
      <c r="V87" s="247"/>
      <c r="W87" s="213">
        <f t="shared" si="55"/>
        <v>0</v>
      </c>
      <c r="X87" s="247"/>
      <c r="Y87" s="213">
        <f t="shared" si="55"/>
        <v>0</v>
      </c>
      <c r="Z87" s="247"/>
      <c r="AA87" s="213">
        <f t="shared" si="55"/>
        <v>0</v>
      </c>
      <c r="AB87" s="247"/>
      <c r="AC87" s="213">
        <f t="shared" si="55"/>
        <v>0</v>
      </c>
      <c r="AD87" s="247"/>
      <c r="AE87" s="213">
        <f t="shared" si="55"/>
        <v>0</v>
      </c>
      <c r="AF87" s="247"/>
      <c r="AG87" s="213">
        <f t="shared" si="55"/>
        <v>0</v>
      </c>
      <c r="AH87" s="247"/>
      <c r="AI87" s="213">
        <f t="shared" si="55"/>
        <v>0</v>
      </c>
      <c r="AJ87" s="247"/>
      <c r="AK87" s="213">
        <f t="shared" si="55"/>
        <v>0</v>
      </c>
      <c r="AL87" s="247"/>
      <c r="AM87" s="181"/>
    </row>
    <row r="88" spans="1:39" x14ac:dyDescent="0.35">
      <c r="I88" s="210"/>
      <c r="J88" s="230"/>
      <c r="K88" s="210"/>
      <c r="L88" s="230"/>
      <c r="M88" s="210"/>
      <c r="N88" s="230"/>
      <c r="O88" s="210"/>
      <c r="P88" s="230"/>
      <c r="Q88" s="210"/>
      <c r="R88" s="230"/>
      <c r="S88" s="210"/>
      <c r="T88" s="230"/>
      <c r="U88" s="210"/>
      <c r="V88" s="230"/>
      <c r="W88" s="210"/>
      <c r="X88" s="230"/>
      <c r="Y88" s="210"/>
      <c r="Z88" s="230"/>
      <c r="AA88" s="210"/>
      <c r="AB88" s="230"/>
      <c r="AC88" s="210"/>
      <c r="AD88" s="230"/>
      <c r="AE88" s="210"/>
      <c r="AF88" s="230"/>
      <c r="AG88" s="210"/>
      <c r="AH88" s="230"/>
      <c r="AI88" s="210"/>
      <c r="AJ88" s="230"/>
      <c r="AK88" s="210"/>
      <c r="AL88" s="247"/>
      <c r="AM88" s="181"/>
    </row>
    <row r="89" spans="1:39" x14ac:dyDescent="0.35">
      <c r="G89" s="144" t="str">
        <f>G39</f>
        <v>ELEMENTS (PRN)</v>
      </c>
      <c r="I89" s="210"/>
      <c r="J89" s="230"/>
      <c r="K89" s="210"/>
      <c r="L89" s="230"/>
      <c r="M89" s="210"/>
      <c r="N89" s="230"/>
      <c r="O89" s="210"/>
      <c r="P89" s="230"/>
      <c r="Q89" s="210"/>
      <c r="R89" s="230"/>
      <c r="S89" s="210"/>
      <c r="T89" s="230"/>
      <c r="U89" s="210"/>
      <c r="V89" s="230"/>
      <c r="W89" s="210"/>
      <c r="X89" s="230"/>
      <c r="Y89" s="210"/>
      <c r="Z89" s="230"/>
      <c r="AA89" s="210"/>
      <c r="AB89" s="230"/>
      <c r="AC89" s="210"/>
      <c r="AD89" s="230"/>
      <c r="AE89" s="210"/>
      <c r="AF89" s="230"/>
      <c r="AG89" s="210"/>
      <c r="AH89" s="230"/>
      <c r="AI89" s="210"/>
      <c r="AJ89" s="230"/>
      <c r="AK89" s="210"/>
      <c r="AL89" s="247"/>
      <c r="AM89" s="181"/>
    </row>
    <row r="90" spans="1:39" x14ac:dyDescent="0.35">
      <c r="A90" s="168">
        <f t="shared" ref="A90:A95" si="56">+A40</f>
        <v>25</v>
      </c>
      <c r="B90" s="169"/>
      <c r="C90" s="174">
        <f t="shared" ref="C90:C95" si="57">+C40</f>
        <v>1</v>
      </c>
      <c r="D90" s="171"/>
      <c r="E90" s="168" t="str">
        <f t="shared" ref="E90:E95" si="58">+E40</f>
        <v>x</v>
      </c>
      <c r="F90" s="169"/>
      <c r="G90" s="169" t="str">
        <f t="shared" ref="G90:G95" si="59">+G40</f>
        <v>x</v>
      </c>
      <c r="H90" s="169"/>
      <c r="I90" s="174">
        <f>FV($U$6,AY$9,,-$S$40,0)</f>
        <v>1.5579674166007644</v>
      </c>
      <c r="J90" s="174"/>
      <c r="K90" s="174">
        <f>FV($U$6,I$59,,-$S$40,0)</f>
        <v>1.6047064390987871</v>
      </c>
      <c r="L90" s="174"/>
      <c r="M90" s="174">
        <f>FV($U$6,K$59,,-$S$40,0)</f>
        <v>1.6528476322717507</v>
      </c>
      <c r="N90" s="174"/>
      <c r="O90" s="174">
        <f>FV($U$6,M$59,,-$S$40,0)</f>
        <v>1.7024330612399032</v>
      </c>
      <c r="P90" s="174"/>
      <c r="Q90" s="174">
        <f>FV($U$6,O$59,,-$S$40,0)</f>
        <v>1.7535060530771003</v>
      </c>
      <c r="R90" s="174"/>
      <c r="S90" s="174">
        <f>FV($U$6,Q$59,,-$S$40,0)</f>
        <v>1.8061112346694133</v>
      </c>
      <c r="T90" s="174"/>
      <c r="U90" s="174">
        <f>FV($U$6,S$59,,-$S$40,0)</f>
        <v>1.8602945717094954</v>
      </c>
      <c r="V90" s="174"/>
      <c r="W90" s="174">
        <f>FV($U$6,U$59,,-$S$40,0)</f>
        <v>1.9161034088607805</v>
      </c>
      <c r="X90" s="174"/>
      <c r="Y90" s="174">
        <f>FV($U$6,W$59,,-$S$40,0)</f>
        <v>1.973586511126604</v>
      </c>
      <c r="Z90" s="174"/>
      <c r="AA90" s="174">
        <f>FV($U$6,Y$59,,-$S$40,0)</f>
        <v>2.0327941064604018</v>
      </c>
      <c r="AB90" s="174"/>
      <c r="AC90" s="174">
        <f>FV($U$6,AA$59,,-$S$40,0)</f>
        <v>2.0937779296542138</v>
      </c>
      <c r="AD90" s="174"/>
      <c r="AE90" s="174">
        <f>FV($U$6,AC$59,,-$S$40,0)</f>
        <v>2.1565912675438406</v>
      </c>
      <c r="AF90" s="174"/>
      <c r="AG90" s="174">
        <f>FV($U$6,AE$59,,-$S$40,0)</f>
        <v>2.2212890055701555</v>
      </c>
      <c r="AH90" s="174"/>
      <c r="AI90" s="174">
        <f>FV($U$6,AG$59,,-$S$40,0)</f>
        <v>2.2879276757372602</v>
      </c>
      <c r="AJ90" s="174"/>
      <c r="AK90" s="174">
        <f>FV($U$6,AI$59,,-$S$40,0)</f>
        <v>2.3565655060093778</v>
      </c>
      <c r="AL90" s="178"/>
      <c r="AM90" s="181"/>
    </row>
    <row r="91" spans="1:39" x14ac:dyDescent="0.35">
      <c r="A91" s="168">
        <f t="shared" si="56"/>
        <v>26</v>
      </c>
      <c r="B91" s="169"/>
      <c r="C91" s="174">
        <f t="shared" si="57"/>
        <v>1</v>
      </c>
      <c r="D91" s="171"/>
      <c r="E91" s="168" t="str">
        <f t="shared" si="58"/>
        <v>x</v>
      </c>
      <c r="F91" s="169"/>
      <c r="G91" s="169" t="str">
        <f t="shared" si="59"/>
        <v>x</v>
      </c>
      <c r="H91" s="169"/>
      <c r="I91" s="174">
        <f>FV($U$6,AY$9,,-$S$41,0)</f>
        <v>1.5579674166007644</v>
      </c>
      <c r="J91" s="174"/>
      <c r="K91" s="174">
        <f>FV($U$6,I$59,,-$S$41,0)</f>
        <v>1.6047064390987871</v>
      </c>
      <c r="L91" s="174"/>
      <c r="M91" s="174">
        <f>FV($U$6,K$59,,-$S$41,0)</f>
        <v>1.6528476322717507</v>
      </c>
      <c r="N91" s="174"/>
      <c r="O91" s="174">
        <f>FV($U$6,M$59,,-$S$41,0)</f>
        <v>1.7024330612399032</v>
      </c>
      <c r="P91" s="174"/>
      <c r="Q91" s="174">
        <f>FV($U$6,O$59,,-$S$41,0)</f>
        <v>1.7535060530771003</v>
      </c>
      <c r="R91" s="174"/>
      <c r="S91" s="174">
        <f>FV($U$6,Q$59,,-$S$41,0)</f>
        <v>1.8061112346694133</v>
      </c>
      <c r="T91" s="174"/>
      <c r="U91" s="174">
        <f>FV($U$6,S$59,,-$S$41,0)</f>
        <v>1.8602945717094954</v>
      </c>
      <c r="V91" s="174"/>
      <c r="W91" s="174">
        <f>FV($U$6,U$59,,-$S$41,0)</f>
        <v>1.9161034088607805</v>
      </c>
      <c r="X91" s="174"/>
      <c r="Y91" s="174">
        <f>FV($U$6,W$59,,-$S$41,0)</f>
        <v>1.973586511126604</v>
      </c>
      <c r="Z91" s="174"/>
      <c r="AA91" s="174">
        <f>FV($U$6,Y$59,,-$S$41,0)</f>
        <v>2.0327941064604018</v>
      </c>
      <c r="AB91" s="174"/>
      <c r="AC91" s="174">
        <f>FV($U$6,AA$59,,-$S$41,0)</f>
        <v>2.0937779296542138</v>
      </c>
      <c r="AD91" s="174"/>
      <c r="AE91" s="174">
        <f>FV($U$6,AC$59,,-$S$41,0)</f>
        <v>2.1565912675438406</v>
      </c>
      <c r="AF91" s="174"/>
      <c r="AG91" s="174">
        <f>FV($U$6,AE$59,,-$S$41,0)</f>
        <v>2.2212890055701555</v>
      </c>
      <c r="AH91" s="174"/>
      <c r="AI91" s="174">
        <f>FV($U$6,AG$59,,-$S$41,0)</f>
        <v>2.2879276757372602</v>
      </c>
      <c r="AJ91" s="174"/>
      <c r="AK91" s="174">
        <f>FV($U$6,AI$59,,-$S$41,0)</f>
        <v>2.3565655060093778</v>
      </c>
      <c r="AL91" s="178"/>
      <c r="AM91" s="181"/>
    </row>
    <row r="92" spans="1:39" x14ac:dyDescent="0.35">
      <c r="A92" s="168">
        <f t="shared" si="56"/>
        <v>27</v>
      </c>
      <c r="B92" s="169"/>
      <c r="C92" s="174">
        <f t="shared" si="57"/>
        <v>1</v>
      </c>
      <c r="D92" s="171"/>
      <c r="E92" s="168" t="str">
        <f t="shared" si="58"/>
        <v>x</v>
      </c>
      <c r="F92" s="169"/>
      <c r="G92" s="169" t="str">
        <f t="shared" si="59"/>
        <v>x</v>
      </c>
      <c r="H92" s="169"/>
      <c r="I92" s="174">
        <f>FV($U$6,AY$9,,-$S$42,0)</f>
        <v>1.5579674166007644</v>
      </c>
      <c r="J92" s="174"/>
      <c r="K92" s="174">
        <f>FV($U$6,I$59,,-$S$42,0)</f>
        <v>1.6047064390987871</v>
      </c>
      <c r="L92" s="174"/>
      <c r="M92" s="174">
        <f>FV($U$6,K$59,,-$S$42,0)</f>
        <v>1.6528476322717507</v>
      </c>
      <c r="N92" s="174"/>
      <c r="O92" s="174">
        <f>FV($U$6,M$59,,-$S$42,0)</f>
        <v>1.7024330612399032</v>
      </c>
      <c r="P92" s="174"/>
      <c r="Q92" s="174">
        <f>FV($U$6,O$59,,-$S$42,0)</f>
        <v>1.7535060530771003</v>
      </c>
      <c r="R92" s="174"/>
      <c r="S92" s="174">
        <f>FV($U$6,Q$59,,-$S$42,0)</f>
        <v>1.8061112346694133</v>
      </c>
      <c r="T92" s="174"/>
      <c r="U92" s="174">
        <f>FV($U$6,S$59,,-$S$42,0)</f>
        <v>1.8602945717094954</v>
      </c>
      <c r="V92" s="174"/>
      <c r="W92" s="174">
        <f>FV($U$6,U$59,,-$S$42,0)</f>
        <v>1.9161034088607805</v>
      </c>
      <c r="X92" s="174"/>
      <c r="Y92" s="174">
        <f>FV($U$6,W$59,,-$S$42,0)</f>
        <v>1.973586511126604</v>
      </c>
      <c r="Z92" s="174"/>
      <c r="AA92" s="174">
        <f>FV($U$6,Y$59,,-$S$42,0)</f>
        <v>2.0327941064604018</v>
      </c>
      <c r="AB92" s="174"/>
      <c r="AC92" s="174">
        <f>FV($U$6,AA$59,,-$S$42,0)</f>
        <v>2.0937779296542138</v>
      </c>
      <c r="AD92" s="174"/>
      <c r="AE92" s="174">
        <f>FV($U$6,AC$59,,-$S$42,0)</f>
        <v>2.1565912675438406</v>
      </c>
      <c r="AF92" s="174"/>
      <c r="AG92" s="174">
        <f>FV($U$6,AE$59,,-$S$42,0)</f>
        <v>2.2212890055701555</v>
      </c>
      <c r="AH92" s="174"/>
      <c r="AI92" s="174">
        <f>FV($U$6,AG$59,,-$S$42,0)</f>
        <v>2.2879276757372602</v>
      </c>
      <c r="AJ92" s="174"/>
      <c r="AK92" s="174">
        <f>FV($U$6,AI$59,,-$S$42,0)</f>
        <v>2.3565655060093778</v>
      </c>
      <c r="AL92" s="178"/>
      <c r="AM92" s="181"/>
    </row>
    <row r="93" spans="1:39" x14ac:dyDescent="0.35">
      <c r="A93" s="180">
        <f t="shared" si="56"/>
        <v>28</v>
      </c>
      <c r="B93" s="181"/>
      <c r="C93" s="185">
        <f t="shared" si="57"/>
        <v>1</v>
      </c>
      <c r="D93" s="183"/>
      <c r="E93" s="180" t="str">
        <f t="shared" si="58"/>
        <v>x</v>
      </c>
      <c r="F93" s="181"/>
      <c r="G93" s="181" t="str">
        <f t="shared" si="59"/>
        <v>x</v>
      </c>
      <c r="H93" s="181"/>
      <c r="I93" s="185">
        <f>FV($U$6,AY$9,,-$S$43,0)</f>
        <v>1.5579674166007644</v>
      </c>
      <c r="J93" s="185"/>
      <c r="K93" s="178">
        <f>FV($U$6,I$59,,-$S$43,0)</f>
        <v>1.6047064390987871</v>
      </c>
      <c r="L93" s="178"/>
      <c r="M93" s="178">
        <f>FV($U$6,K$59,,-$S$43,0)</f>
        <v>1.6528476322717507</v>
      </c>
      <c r="N93" s="178"/>
      <c r="O93" s="178">
        <f>FV($U$6,M$59,,-$S$43,0)</f>
        <v>1.7024330612399032</v>
      </c>
      <c r="P93" s="178"/>
      <c r="Q93" s="178">
        <f>FV($U$6,O$59,,-$S$43,0)</f>
        <v>1.7535060530771003</v>
      </c>
      <c r="R93" s="178"/>
      <c r="S93" s="178">
        <f>FV($U$6,Q$59,,-$S$43,0)</f>
        <v>1.8061112346694133</v>
      </c>
      <c r="T93" s="178"/>
      <c r="U93" s="178">
        <f>FV($U$6,S$59,,-$S$43,0)</f>
        <v>1.8602945717094954</v>
      </c>
      <c r="V93" s="178"/>
      <c r="W93" s="178">
        <f>FV($U$6,U$59,,-$S$43,0)</f>
        <v>1.9161034088607805</v>
      </c>
      <c r="X93" s="178"/>
      <c r="Y93" s="178">
        <f>FV($U$6,W$59,,-$S$43,0)</f>
        <v>1.973586511126604</v>
      </c>
      <c r="Z93" s="178"/>
      <c r="AA93" s="178">
        <f>FV($U$6,Y$59,,-$S$43,0)</f>
        <v>2.0327941064604018</v>
      </c>
      <c r="AB93" s="178"/>
      <c r="AC93" s="178">
        <f>FV($U$6,AA$59,,-$S$43,0)</f>
        <v>2.0937779296542138</v>
      </c>
      <c r="AD93" s="178"/>
      <c r="AE93" s="178">
        <f>FV($U$6,AC$59,,-$S$43,0)</f>
        <v>2.1565912675438406</v>
      </c>
      <c r="AF93" s="178"/>
      <c r="AG93" s="178">
        <f>FV($U$6,AE$59,,-$S$43,0)</f>
        <v>2.2212890055701555</v>
      </c>
      <c r="AH93" s="178"/>
      <c r="AI93" s="178">
        <f>FV($U$6,AG$59,,-$S$43,0)</f>
        <v>2.2879276757372602</v>
      </c>
      <c r="AJ93" s="178"/>
      <c r="AK93" s="178">
        <f>FV($U$6,AI$59,,-$S$43,0)</f>
        <v>2.3565655060093778</v>
      </c>
      <c r="AL93" s="178"/>
      <c r="AM93" s="181"/>
    </row>
    <row r="94" spans="1:39" x14ac:dyDescent="0.35">
      <c r="A94" s="180">
        <f t="shared" si="56"/>
        <v>29</v>
      </c>
      <c r="B94" s="181"/>
      <c r="C94" s="185">
        <f t="shared" si="57"/>
        <v>1</v>
      </c>
      <c r="D94" s="183"/>
      <c r="E94" s="180" t="str">
        <f t="shared" si="58"/>
        <v>x</v>
      </c>
      <c r="F94" s="181"/>
      <c r="G94" s="181" t="str">
        <f t="shared" si="59"/>
        <v>x</v>
      </c>
      <c r="H94" s="181"/>
      <c r="I94" s="185">
        <f>FV($U$6,AY$9,,-$S$44,0)</f>
        <v>1.5579674166007644</v>
      </c>
      <c r="J94" s="185"/>
      <c r="K94" s="178">
        <f>FV($U$6,I$59,,-$S$44,0)</f>
        <v>1.6047064390987871</v>
      </c>
      <c r="L94" s="178"/>
      <c r="M94" s="178">
        <f>FV($U$6,K$59,,-$S$44,0)</f>
        <v>1.6528476322717507</v>
      </c>
      <c r="N94" s="178"/>
      <c r="O94" s="178">
        <f>FV($U$6,M$59,,-$S$44,0)</f>
        <v>1.7024330612399032</v>
      </c>
      <c r="P94" s="178"/>
      <c r="Q94" s="178">
        <f>FV($U$6,O$59,,-$S$44,0)</f>
        <v>1.7535060530771003</v>
      </c>
      <c r="R94" s="178"/>
      <c r="S94" s="178">
        <f>FV($U$6,Q$59,,-$S$44,0)</f>
        <v>1.8061112346694133</v>
      </c>
      <c r="T94" s="178"/>
      <c r="U94" s="178">
        <f>FV($U$6,S$59,,-$S$44,0)</f>
        <v>1.8602945717094954</v>
      </c>
      <c r="V94" s="178"/>
      <c r="W94" s="178">
        <f>FV($U$6,U$59,,-$S$44,0)</f>
        <v>1.9161034088607805</v>
      </c>
      <c r="X94" s="178"/>
      <c r="Y94" s="178">
        <f>FV($U$6,W$59,,-$S$44,0)</f>
        <v>1.973586511126604</v>
      </c>
      <c r="Z94" s="178"/>
      <c r="AA94" s="178">
        <f>FV($U$6,Y$59,,-$S$44,0)</f>
        <v>2.0327941064604018</v>
      </c>
      <c r="AB94" s="178"/>
      <c r="AC94" s="178">
        <f>FV($U$6,AA$59,,-$S$44,0)</f>
        <v>2.0937779296542138</v>
      </c>
      <c r="AD94" s="178"/>
      <c r="AE94" s="178">
        <f>FV($U$6,AC$59,,-$S$44,0)</f>
        <v>2.1565912675438406</v>
      </c>
      <c r="AF94" s="178"/>
      <c r="AG94" s="178">
        <f>FV($U$6,AE$59,,-$S$44,0)</f>
        <v>2.2212890055701555</v>
      </c>
      <c r="AH94" s="178"/>
      <c r="AI94" s="178">
        <f>FV($U$6,AG$59,,-$S$44,0)</f>
        <v>2.2879276757372602</v>
      </c>
      <c r="AJ94" s="178"/>
      <c r="AK94" s="178">
        <f>FV($U$6,AI$59,,-$S$44,0)</f>
        <v>2.3565655060093778</v>
      </c>
      <c r="AL94" s="178"/>
      <c r="AM94" s="181"/>
    </row>
    <row r="95" spans="1:39" x14ac:dyDescent="0.35">
      <c r="A95" s="180">
        <f t="shared" si="56"/>
        <v>30</v>
      </c>
      <c r="B95" s="181"/>
      <c r="C95" s="185">
        <f t="shared" si="57"/>
        <v>1</v>
      </c>
      <c r="D95" s="183"/>
      <c r="E95" s="180" t="str">
        <f t="shared" si="58"/>
        <v>x</v>
      </c>
      <c r="F95" s="181"/>
      <c r="G95" s="181" t="str">
        <f t="shared" si="59"/>
        <v>x</v>
      </c>
      <c r="H95" s="181"/>
      <c r="I95" s="185">
        <f>FV($U$6,AY$9,,-$S$45,0)</f>
        <v>1.5579674166007644</v>
      </c>
      <c r="J95" s="185"/>
      <c r="K95" s="178">
        <f>FV($U$6,I$59,,-$S$45,0)</f>
        <v>1.6047064390987871</v>
      </c>
      <c r="L95" s="178"/>
      <c r="M95" s="178">
        <f>FV($U$6,K$59,,-$S$45,0)</f>
        <v>1.6528476322717507</v>
      </c>
      <c r="N95" s="178"/>
      <c r="O95" s="178">
        <f>FV($U$6,M$59,,-$S$45,0)</f>
        <v>1.7024330612399032</v>
      </c>
      <c r="P95" s="178"/>
      <c r="Q95" s="178">
        <f>FV($U$6,O$59,,-$S$45,0)</f>
        <v>1.7535060530771003</v>
      </c>
      <c r="R95" s="178"/>
      <c r="S95" s="178">
        <f>FV($U$6,Q$59,,-$S$45,0)</f>
        <v>1.8061112346694133</v>
      </c>
      <c r="T95" s="178"/>
      <c r="U95" s="178">
        <f>FV($U$6,S$59,,-$S$45,0)</f>
        <v>1.8602945717094954</v>
      </c>
      <c r="V95" s="178"/>
      <c r="W95" s="178">
        <f>FV($U$6,U$59,,-$S$45,0)</f>
        <v>1.9161034088607805</v>
      </c>
      <c r="X95" s="178"/>
      <c r="Y95" s="178">
        <f>FV($U$6,W$59,,-$S$45,0)</f>
        <v>1.973586511126604</v>
      </c>
      <c r="Z95" s="178"/>
      <c r="AA95" s="178">
        <f>FV($U$6,Y$59,,-$S$45,0)</f>
        <v>2.0327941064604018</v>
      </c>
      <c r="AB95" s="178"/>
      <c r="AC95" s="178">
        <f>FV($U$6,AA$59,,-$S$45,0)</f>
        <v>2.0937779296542138</v>
      </c>
      <c r="AD95" s="178"/>
      <c r="AE95" s="178">
        <f>FV($U$6,AC$59,,-$S$45,0)</f>
        <v>2.1565912675438406</v>
      </c>
      <c r="AF95" s="178"/>
      <c r="AG95" s="178">
        <f>FV($U$6,AE$59,,-$S$45,0)</f>
        <v>2.2212890055701555</v>
      </c>
      <c r="AH95" s="178"/>
      <c r="AI95" s="178">
        <f>FV($U$6,AG$59,,-$S$45,0)</f>
        <v>2.2879276757372602</v>
      </c>
      <c r="AJ95" s="178"/>
      <c r="AK95" s="178">
        <f>FV($U$6,AI$59,,-$S$45,0)</f>
        <v>2.3565655060093778</v>
      </c>
      <c r="AL95" s="178"/>
      <c r="AM95" s="181"/>
    </row>
    <row r="96" spans="1:39" x14ac:dyDescent="0.35">
      <c r="A96" s="168">
        <f t="shared" ref="A96:A104" si="60">+A46</f>
        <v>31</v>
      </c>
      <c r="B96" s="169"/>
      <c r="C96" s="174">
        <f t="shared" ref="C96:C104" si="61">+C46</f>
        <v>1</v>
      </c>
      <c r="D96" s="171"/>
      <c r="E96" s="168" t="str">
        <f t="shared" ref="E96:E104" si="62">+E46</f>
        <v>x</v>
      </c>
      <c r="F96" s="169"/>
      <c r="G96" s="169" t="str">
        <f t="shared" ref="G96:G104" si="63">+G46</f>
        <v>x</v>
      </c>
      <c r="H96" s="169"/>
      <c r="I96" s="174">
        <f>FV($U$6,AY$9,,-$S$46,0)</f>
        <v>1.5579674166007644</v>
      </c>
      <c r="J96" s="174"/>
      <c r="K96" s="174">
        <f>FV($U$6,I$59,,-$S$46,0)</f>
        <v>1.6047064390987871</v>
      </c>
      <c r="L96" s="174"/>
      <c r="M96" s="174">
        <f>FV($U$6,K$59,,-$S$46,0)</f>
        <v>1.6528476322717507</v>
      </c>
      <c r="N96" s="174"/>
      <c r="O96" s="174">
        <f>FV($U$6,M$59,,-$S$46,0)</f>
        <v>1.7024330612399032</v>
      </c>
      <c r="P96" s="174"/>
      <c r="Q96" s="174">
        <f>FV($U$6,O$59,,-$S$46,0)</f>
        <v>1.7535060530771003</v>
      </c>
      <c r="R96" s="174"/>
      <c r="S96" s="174">
        <f>FV($U$6,Q$59,,-$S$46,0)</f>
        <v>1.8061112346694133</v>
      </c>
      <c r="T96" s="174"/>
      <c r="U96" s="174">
        <f>FV($U$6,S$59,,-$S$46,0)</f>
        <v>1.8602945717094954</v>
      </c>
      <c r="V96" s="174"/>
      <c r="W96" s="174">
        <f>FV($U$6,U$59,,-$S$46,0)</f>
        <v>1.9161034088607805</v>
      </c>
      <c r="X96" s="174"/>
      <c r="Y96" s="174">
        <f>FV($U$6,W$59,,-$S$46,0)</f>
        <v>1.973586511126604</v>
      </c>
      <c r="Z96" s="174"/>
      <c r="AA96" s="174">
        <f>FV($U$6,Y$59,,-$S$46,0)</f>
        <v>2.0327941064604018</v>
      </c>
      <c r="AB96" s="174"/>
      <c r="AC96" s="174">
        <f>FV($U$6,AA$59,,-$S$46,0)</f>
        <v>2.0937779296542138</v>
      </c>
      <c r="AD96" s="174"/>
      <c r="AE96" s="174">
        <f>FV($U$6,AC$59,,-$S$46,0)</f>
        <v>2.1565912675438406</v>
      </c>
      <c r="AF96" s="174"/>
      <c r="AG96" s="174">
        <f>FV($U$6,AE$59,,-$S$46,0)</f>
        <v>2.2212890055701555</v>
      </c>
      <c r="AH96" s="174"/>
      <c r="AI96" s="174">
        <f>FV($U$6,AG$59,,-$S$46,0)</f>
        <v>2.2879276757372602</v>
      </c>
      <c r="AJ96" s="174"/>
      <c r="AK96" s="174">
        <f>FV($U$6,AI$59,,-$S$46,0)</f>
        <v>2.3565655060093778</v>
      </c>
      <c r="AL96" s="178"/>
      <c r="AM96" s="181"/>
    </row>
    <row r="97" spans="1:41" x14ac:dyDescent="0.35">
      <c r="A97" s="168">
        <f t="shared" si="60"/>
        <v>32</v>
      </c>
      <c r="B97" s="169"/>
      <c r="C97" s="174">
        <f t="shared" si="61"/>
        <v>1</v>
      </c>
      <c r="D97" s="171"/>
      <c r="E97" s="168" t="str">
        <f t="shared" si="62"/>
        <v>x</v>
      </c>
      <c r="F97" s="169"/>
      <c r="G97" s="169" t="str">
        <f t="shared" si="63"/>
        <v>x</v>
      </c>
      <c r="H97" s="169"/>
      <c r="I97" s="174">
        <f>FV($U$6,AY$9,,-$S$47,0)</f>
        <v>1.5579674166007644</v>
      </c>
      <c r="J97" s="174"/>
      <c r="K97" s="174">
        <f>FV($U$6,I$59,,-$S$47,0)</f>
        <v>1.6047064390987871</v>
      </c>
      <c r="L97" s="174"/>
      <c r="M97" s="174">
        <f>FV($U$6,K$59,,-$S$47,0)</f>
        <v>1.6528476322717507</v>
      </c>
      <c r="N97" s="174"/>
      <c r="O97" s="174">
        <f>FV($U$6,M$59,,-$S$47,0)</f>
        <v>1.7024330612399032</v>
      </c>
      <c r="P97" s="174"/>
      <c r="Q97" s="174">
        <f>FV($U$6,O$59,,-$S$47,0)</f>
        <v>1.7535060530771003</v>
      </c>
      <c r="R97" s="174"/>
      <c r="S97" s="174">
        <f>FV($U$6,Q$59,,-$S$47,0)</f>
        <v>1.8061112346694133</v>
      </c>
      <c r="T97" s="174"/>
      <c r="U97" s="174">
        <f>FV($U$6,S$59,,-$S$47,0)</f>
        <v>1.8602945717094954</v>
      </c>
      <c r="V97" s="174"/>
      <c r="W97" s="174">
        <f>FV($U$6,U$59,,-$S$47,0)</f>
        <v>1.9161034088607805</v>
      </c>
      <c r="X97" s="174"/>
      <c r="Y97" s="174">
        <f>FV($U$6,W$59,,-$S$47,0)</f>
        <v>1.973586511126604</v>
      </c>
      <c r="Z97" s="174"/>
      <c r="AA97" s="174">
        <f>FV($U$6,Y$59,,-$S$47,0)</f>
        <v>2.0327941064604018</v>
      </c>
      <c r="AB97" s="174"/>
      <c r="AC97" s="174">
        <f>FV($U$6,AA$59,,-$S$47,0)</f>
        <v>2.0937779296542138</v>
      </c>
      <c r="AD97" s="174"/>
      <c r="AE97" s="174">
        <f>FV($U$6,AC$59,,-$S$47,0)</f>
        <v>2.1565912675438406</v>
      </c>
      <c r="AF97" s="174"/>
      <c r="AG97" s="174">
        <f>FV($U$6,AE$59,,-$S$47,0)</f>
        <v>2.2212890055701555</v>
      </c>
      <c r="AH97" s="174"/>
      <c r="AI97" s="174">
        <f>FV($U$6,AG$59,,-$S$47,0)</f>
        <v>2.2879276757372602</v>
      </c>
      <c r="AJ97" s="174"/>
      <c r="AK97" s="174">
        <f>FV($U$6,AI$59,,-$S$47,0)</f>
        <v>2.3565655060093778</v>
      </c>
      <c r="AL97" s="178"/>
      <c r="AM97" s="181"/>
    </row>
    <row r="98" spans="1:41" x14ac:dyDescent="0.35">
      <c r="A98" s="168">
        <f t="shared" si="60"/>
        <v>33</v>
      </c>
      <c r="B98" s="169"/>
      <c r="C98" s="174">
        <f t="shared" si="61"/>
        <v>1</v>
      </c>
      <c r="D98" s="171"/>
      <c r="E98" s="168" t="str">
        <f t="shared" si="62"/>
        <v>x</v>
      </c>
      <c r="F98" s="169"/>
      <c r="G98" s="169" t="str">
        <f t="shared" si="63"/>
        <v>x</v>
      </c>
      <c r="H98" s="169"/>
      <c r="I98" s="174">
        <f>FV($U$6,AY$9,,-$S$48,0)</f>
        <v>1.5579674166007644</v>
      </c>
      <c r="J98" s="174"/>
      <c r="K98" s="174">
        <f>FV($U$6,I$59,,-$S$47,0)</f>
        <v>1.6047064390987871</v>
      </c>
      <c r="L98" s="174"/>
      <c r="M98" s="174">
        <f>FV($U$6,K$59,,-$S$47,0)</f>
        <v>1.6528476322717507</v>
      </c>
      <c r="N98" s="174"/>
      <c r="O98" s="174">
        <f>FV($U$6,M$59,,-$S$47,0)</f>
        <v>1.7024330612399032</v>
      </c>
      <c r="P98" s="174"/>
      <c r="Q98" s="174">
        <f>FV($U$6,O$59,,-$S$47,0)</f>
        <v>1.7535060530771003</v>
      </c>
      <c r="R98" s="174"/>
      <c r="S98" s="174">
        <f>FV($U$6,Q$59,,-$S$47,0)</f>
        <v>1.8061112346694133</v>
      </c>
      <c r="T98" s="174"/>
      <c r="U98" s="174">
        <f>FV($U$6,S$59,,-$S$47,0)</f>
        <v>1.8602945717094954</v>
      </c>
      <c r="V98" s="174"/>
      <c r="W98" s="174">
        <f>FV($U$6,U$59,,-$S$47,0)</f>
        <v>1.9161034088607805</v>
      </c>
      <c r="X98" s="174"/>
      <c r="Y98" s="174">
        <f>FV($U$6,W$59,,-$S$47,0)</f>
        <v>1.973586511126604</v>
      </c>
      <c r="Z98" s="174"/>
      <c r="AA98" s="174">
        <f>FV($U$6,Y$59,,-$S$47,0)</f>
        <v>2.0327941064604018</v>
      </c>
      <c r="AB98" s="174"/>
      <c r="AC98" s="174">
        <f>FV($U$6,AA$59,,-$S$47,0)</f>
        <v>2.0937779296542138</v>
      </c>
      <c r="AD98" s="174"/>
      <c r="AE98" s="174">
        <f>FV($U$6,AC$59,,-$S$47,0)</f>
        <v>2.1565912675438406</v>
      </c>
      <c r="AF98" s="174"/>
      <c r="AG98" s="174">
        <f>FV($U$6,AE$59,,-$S$47,0)</f>
        <v>2.2212890055701555</v>
      </c>
      <c r="AH98" s="174"/>
      <c r="AI98" s="174">
        <f>FV($U$6,AG$59,,-$S$47,0)</f>
        <v>2.2879276757372602</v>
      </c>
      <c r="AJ98" s="174"/>
      <c r="AK98" s="174">
        <f>FV($U$6,AI$59,,-$S$47,0)</f>
        <v>2.3565655060093778</v>
      </c>
      <c r="AL98" s="178"/>
      <c r="AM98" s="181"/>
    </row>
    <row r="99" spans="1:41" x14ac:dyDescent="0.35">
      <c r="A99" s="180">
        <f t="shared" si="60"/>
        <v>34</v>
      </c>
      <c r="B99" s="181"/>
      <c r="C99" s="185">
        <f t="shared" si="61"/>
        <v>1</v>
      </c>
      <c r="D99" s="183"/>
      <c r="E99" s="180" t="str">
        <f t="shared" si="62"/>
        <v>x</v>
      </c>
      <c r="F99" s="181"/>
      <c r="G99" s="181" t="str">
        <f t="shared" si="63"/>
        <v>x</v>
      </c>
      <c r="H99" s="181"/>
      <c r="I99" s="185">
        <f>FV($U$6,AY$9,,-$S$49,0)</f>
        <v>1.5579674166007644</v>
      </c>
      <c r="J99" s="185"/>
      <c r="K99" s="178">
        <f>FV($U$6,I$59,,-$S$49,0)</f>
        <v>1.6047064390987871</v>
      </c>
      <c r="L99" s="178"/>
      <c r="M99" s="178">
        <f>FV($U$6,K$59,,-$S$49,0)</f>
        <v>1.6528476322717507</v>
      </c>
      <c r="N99" s="178"/>
      <c r="O99" s="178">
        <f>FV($U$6,M$59,,-$S$49,0)</f>
        <v>1.7024330612399032</v>
      </c>
      <c r="P99" s="178"/>
      <c r="Q99" s="178">
        <f>FV($U$6,O$59,,-$S$49,0)</f>
        <v>1.7535060530771003</v>
      </c>
      <c r="R99" s="178"/>
      <c r="S99" s="178">
        <f>FV($U$6,Q$59,,-$S$49,0)</f>
        <v>1.8061112346694133</v>
      </c>
      <c r="T99" s="178"/>
      <c r="U99" s="178">
        <f>FV($U$6,S$59,,-$S$49,0)</f>
        <v>1.8602945717094954</v>
      </c>
      <c r="V99" s="178"/>
      <c r="W99" s="178">
        <f>FV($U$6,U$59,,-$S$49,0)</f>
        <v>1.9161034088607805</v>
      </c>
      <c r="X99" s="178"/>
      <c r="Y99" s="178">
        <f>FV($U$6,W$59,,-$S$49,0)</f>
        <v>1.973586511126604</v>
      </c>
      <c r="Z99" s="178"/>
      <c r="AA99" s="178">
        <f>FV($U$6,Y$59,,-$S$49,0)</f>
        <v>2.0327941064604018</v>
      </c>
      <c r="AB99" s="178"/>
      <c r="AC99" s="178">
        <f>FV($U$6,AA$59,,-$S$49,0)</f>
        <v>2.0937779296542138</v>
      </c>
      <c r="AD99" s="178"/>
      <c r="AE99" s="178">
        <f>FV($U$6,AC$59,,-$S$49,0)</f>
        <v>2.1565912675438406</v>
      </c>
      <c r="AF99" s="178"/>
      <c r="AG99" s="178">
        <f>FV($U$6,AE$59,,-$S$49,0)</f>
        <v>2.2212890055701555</v>
      </c>
      <c r="AH99" s="178"/>
      <c r="AI99" s="178">
        <f>FV($U$6,AG$59,,-$S$49,0)</f>
        <v>2.2879276757372602</v>
      </c>
      <c r="AJ99" s="178"/>
      <c r="AK99" s="178">
        <f>FV($U$6,AI$59,,-$S$49,0)</f>
        <v>2.3565655060093778</v>
      </c>
      <c r="AL99" s="178"/>
      <c r="AM99" s="181"/>
    </row>
    <row r="100" spans="1:41" x14ac:dyDescent="0.35">
      <c r="A100" s="180">
        <f t="shared" si="60"/>
        <v>35</v>
      </c>
      <c r="B100" s="181"/>
      <c r="C100" s="185">
        <f t="shared" si="61"/>
        <v>1</v>
      </c>
      <c r="D100" s="183"/>
      <c r="E100" s="180" t="str">
        <f t="shared" si="62"/>
        <v>x</v>
      </c>
      <c r="F100" s="181"/>
      <c r="G100" s="181" t="str">
        <f t="shared" si="63"/>
        <v>x</v>
      </c>
      <c r="H100" s="181"/>
      <c r="I100" s="185">
        <f>FV($U$6,AY$9,,-$S$50,0)</f>
        <v>1.5579674166007644</v>
      </c>
      <c r="J100" s="185"/>
      <c r="K100" s="178">
        <f>FV($U$6,I$59,,-$S$50,0)</f>
        <v>1.6047064390987871</v>
      </c>
      <c r="L100" s="178"/>
      <c r="M100" s="178">
        <f>FV($U$6,K$59,,-$S$50,0)</f>
        <v>1.6528476322717507</v>
      </c>
      <c r="N100" s="178"/>
      <c r="O100" s="178">
        <f>FV($U$6,M$59,,-$S$50,0)</f>
        <v>1.7024330612399032</v>
      </c>
      <c r="P100" s="178"/>
      <c r="Q100" s="178">
        <f>FV($U$6,O$59,,-$S$50,0)</f>
        <v>1.7535060530771003</v>
      </c>
      <c r="R100" s="178"/>
      <c r="S100" s="178">
        <f>FV($U$6,Q$59,,-$S$50,0)</f>
        <v>1.8061112346694133</v>
      </c>
      <c r="T100" s="178"/>
      <c r="U100" s="178">
        <f>FV($U$6,S$59,,-$S$50,0)</f>
        <v>1.8602945717094954</v>
      </c>
      <c r="V100" s="178"/>
      <c r="W100" s="178">
        <f>FV($U$6,U$59,,-$S$50,0)</f>
        <v>1.9161034088607805</v>
      </c>
      <c r="X100" s="178"/>
      <c r="Y100" s="178">
        <f>FV($U$6,W$59,,-$S$50,0)</f>
        <v>1.973586511126604</v>
      </c>
      <c r="Z100" s="178"/>
      <c r="AA100" s="178">
        <f>FV($U$6,Y$59,,-$S$50,0)</f>
        <v>2.0327941064604018</v>
      </c>
      <c r="AB100" s="178"/>
      <c r="AC100" s="178">
        <f>FV($U$6,AA$59,,-$S$50,0)</f>
        <v>2.0937779296542138</v>
      </c>
      <c r="AD100" s="178"/>
      <c r="AE100" s="178">
        <f>FV($U$6,AC$59,,-$S$50,0)</f>
        <v>2.1565912675438406</v>
      </c>
      <c r="AF100" s="178"/>
      <c r="AG100" s="178">
        <f>FV($U$6,AE$59,,-$S$50,0)</f>
        <v>2.2212890055701555</v>
      </c>
      <c r="AH100" s="178"/>
      <c r="AI100" s="178">
        <f>FV($U$6,AG$59,,-$S$50,0)</f>
        <v>2.2879276757372602</v>
      </c>
      <c r="AJ100" s="178"/>
      <c r="AK100" s="178">
        <f>FV($U$6,AI$59,,-$S$50,0)</f>
        <v>2.3565655060093778</v>
      </c>
      <c r="AL100" s="178"/>
      <c r="AM100" s="181"/>
    </row>
    <row r="101" spans="1:41" x14ac:dyDescent="0.35">
      <c r="A101" s="180">
        <f t="shared" si="60"/>
        <v>36</v>
      </c>
      <c r="B101" s="181"/>
      <c r="C101" s="185">
        <f t="shared" si="61"/>
        <v>1</v>
      </c>
      <c r="D101" s="183"/>
      <c r="E101" s="180" t="str">
        <f t="shared" si="62"/>
        <v>x</v>
      </c>
      <c r="F101" s="181"/>
      <c r="G101" s="181" t="str">
        <f t="shared" si="63"/>
        <v>x</v>
      </c>
      <c r="H101" s="181"/>
      <c r="I101" s="185">
        <f>FV($U$6,AY$9,,-$S$51,0)</f>
        <v>1.5579674166007644</v>
      </c>
      <c r="J101" s="185"/>
      <c r="K101" s="178">
        <f>FV($U$6,I$59,,-$S$51,0)</f>
        <v>1.6047064390987871</v>
      </c>
      <c r="L101" s="178"/>
      <c r="M101" s="178">
        <f>FV($U$6,K$59,,-$S$51,0)</f>
        <v>1.6528476322717507</v>
      </c>
      <c r="N101" s="178"/>
      <c r="O101" s="178">
        <f>FV($U$6,M$59,,-$S$51,0)</f>
        <v>1.7024330612399032</v>
      </c>
      <c r="P101" s="178"/>
      <c r="Q101" s="178">
        <f>FV($U$6,O$59,,-$S$51,0)</f>
        <v>1.7535060530771003</v>
      </c>
      <c r="R101" s="178"/>
      <c r="S101" s="178">
        <f>FV($U$6,Q$59,,-$S$51,0)</f>
        <v>1.8061112346694133</v>
      </c>
      <c r="T101" s="178"/>
      <c r="U101" s="178">
        <f>FV($U$6,S$59,,-$S$51,0)</f>
        <v>1.8602945717094954</v>
      </c>
      <c r="V101" s="178"/>
      <c r="W101" s="178">
        <f>FV($U$6,U$59,,-$S$51,0)</f>
        <v>1.9161034088607805</v>
      </c>
      <c r="X101" s="178"/>
      <c r="Y101" s="178">
        <f>FV($U$6,W$59,,-$S$51,0)</f>
        <v>1.973586511126604</v>
      </c>
      <c r="Z101" s="178"/>
      <c r="AA101" s="178">
        <f>FV($U$6,Y$59,,-$S$51,0)</f>
        <v>2.0327941064604018</v>
      </c>
      <c r="AB101" s="178"/>
      <c r="AC101" s="178">
        <f>FV($U$6,AA$59,,-$S$51,0)</f>
        <v>2.0937779296542138</v>
      </c>
      <c r="AD101" s="178"/>
      <c r="AE101" s="178">
        <f>FV($U$6,AC$59,,-$S$51,0)</f>
        <v>2.1565912675438406</v>
      </c>
      <c r="AF101" s="178"/>
      <c r="AG101" s="178">
        <f>FV($U$6,AE$59,,-$S$51,0)</f>
        <v>2.2212890055701555</v>
      </c>
      <c r="AH101" s="178"/>
      <c r="AI101" s="178">
        <f>FV($U$6,AG$59,,-$S$51,0)</f>
        <v>2.2879276757372602</v>
      </c>
      <c r="AJ101" s="178"/>
      <c r="AK101" s="178">
        <f>FV($U$6,AI$59,,-$S$51,0)</f>
        <v>2.3565655060093778</v>
      </c>
      <c r="AL101" s="178"/>
      <c r="AM101" s="181"/>
    </row>
    <row r="102" spans="1:41" x14ac:dyDescent="0.35">
      <c r="A102" s="168">
        <f t="shared" si="60"/>
        <v>37</v>
      </c>
      <c r="B102" s="169"/>
      <c r="C102" s="174">
        <f t="shared" si="61"/>
        <v>1</v>
      </c>
      <c r="D102" s="171"/>
      <c r="E102" s="168" t="str">
        <f t="shared" si="62"/>
        <v>x</v>
      </c>
      <c r="F102" s="169"/>
      <c r="G102" s="169" t="str">
        <f t="shared" si="63"/>
        <v>x</v>
      </c>
      <c r="H102" s="169"/>
      <c r="I102" s="174">
        <f>FV($U$6,AY$9,,-$S$52,0)</f>
        <v>1.5579674166007644</v>
      </c>
      <c r="J102" s="174"/>
      <c r="K102" s="174">
        <f>FV($U$6,I$59,,-$S$52,0)</f>
        <v>1.6047064390987871</v>
      </c>
      <c r="L102" s="174"/>
      <c r="M102" s="174">
        <f>FV($U$6,K$59,,-$S$52,0)</f>
        <v>1.6528476322717507</v>
      </c>
      <c r="N102" s="174"/>
      <c r="O102" s="174">
        <f>FV($U$6,M$59,,-$S$52,0)</f>
        <v>1.7024330612399032</v>
      </c>
      <c r="P102" s="174"/>
      <c r="Q102" s="174">
        <f>FV($U$6,O$59,,-$S$52,0)</f>
        <v>1.7535060530771003</v>
      </c>
      <c r="R102" s="174"/>
      <c r="S102" s="174">
        <f>FV($U$6,Q$59,,-$S$52,0)</f>
        <v>1.8061112346694133</v>
      </c>
      <c r="T102" s="174"/>
      <c r="U102" s="174">
        <f>FV($U$6,S$59,,-$S$52,0)</f>
        <v>1.8602945717094954</v>
      </c>
      <c r="V102" s="174"/>
      <c r="W102" s="174">
        <f>FV($U$6,U$59,,-$S$52,0)</f>
        <v>1.9161034088607805</v>
      </c>
      <c r="X102" s="174"/>
      <c r="Y102" s="174">
        <f>FV($U$6,W$59,,-$S$52,0)</f>
        <v>1.973586511126604</v>
      </c>
      <c r="Z102" s="174"/>
      <c r="AA102" s="174">
        <f>FV($U$6,Y$59,,-$S$52,0)</f>
        <v>2.0327941064604018</v>
      </c>
      <c r="AB102" s="174"/>
      <c r="AC102" s="174">
        <f>FV($U$6,AA$59,,-$S$52,0)</f>
        <v>2.0937779296542138</v>
      </c>
      <c r="AD102" s="174"/>
      <c r="AE102" s="174">
        <f>FV($U$6,AC$59,,-$S$52,0)</f>
        <v>2.1565912675438406</v>
      </c>
      <c r="AF102" s="174"/>
      <c r="AG102" s="174">
        <f>FV($U$6,AE$59,,-$S$52,0)</f>
        <v>2.2212890055701555</v>
      </c>
      <c r="AH102" s="174"/>
      <c r="AI102" s="174">
        <f>FV($U$6,AG$59,,-$S$52,0)</f>
        <v>2.2879276757372602</v>
      </c>
      <c r="AJ102" s="174"/>
      <c r="AK102" s="174">
        <f>FV($U$6,AI$59,,-$S$52,0)</f>
        <v>2.3565655060093778</v>
      </c>
      <c r="AL102" s="178"/>
      <c r="AM102" s="181"/>
    </row>
    <row r="103" spans="1:41" x14ac:dyDescent="0.35">
      <c r="A103" s="168">
        <f t="shared" si="60"/>
        <v>38</v>
      </c>
      <c r="B103" s="169"/>
      <c r="C103" s="174">
        <f t="shared" si="61"/>
        <v>1</v>
      </c>
      <c r="D103" s="171"/>
      <c r="E103" s="168" t="str">
        <f t="shared" si="62"/>
        <v>x</v>
      </c>
      <c r="F103" s="169"/>
      <c r="G103" s="169" t="str">
        <f t="shared" si="63"/>
        <v>x</v>
      </c>
      <c r="H103" s="169"/>
      <c r="I103" s="174">
        <f>FV($U$6,AY$9,,-$S$53,0)</f>
        <v>1.5579674166007644</v>
      </c>
      <c r="J103" s="174"/>
      <c r="K103" s="174">
        <f>FV($U$6,I$59,,-$S$53,0)</f>
        <v>1.6047064390987871</v>
      </c>
      <c r="L103" s="174"/>
      <c r="M103" s="174">
        <f>FV($U$6,K$59,,-$S$53,0)</f>
        <v>1.6528476322717507</v>
      </c>
      <c r="N103" s="174"/>
      <c r="O103" s="174">
        <f>FV($U$6,M$59,,-$S$53,0)</f>
        <v>1.7024330612399032</v>
      </c>
      <c r="P103" s="174"/>
      <c r="Q103" s="174">
        <f>FV($U$6,O$59,,-$S$53,0)</f>
        <v>1.7535060530771003</v>
      </c>
      <c r="R103" s="174"/>
      <c r="S103" s="174">
        <f>FV($U$6,Q$59,,-$S$53,0)</f>
        <v>1.8061112346694133</v>
      </c>
      <c r="T103" s="174"/>
      <c r="U103" s="174">
        <f>FV($U$6,S$59,,-$S$53,0)</f>
        <v>1.8602945717094954</v>
      </c>
      <c r="V103" s="174"/>
      <c r="W103" s="174">
        <f>FV($U$6,U$59,,-$S$53,0)</f>
        <v>1.9161034088607805</v>
      </c>
      <c r="X103" s="174"/>
      <c r="Y103" s="174">
        <f>FV($U$6,W$59,,-$S$53,0)</f>
        <v>1.973586511126604</v>
      </c>
      <c r="Z103" s="174"/>
      <c r="AA103" s="174">
        <f>FV($U$6,Y$59,,-$S$53,0)</f>
        <v>2.0327941064604018</v>
      </c>
      <c r="AB103" s="174"/>
      <c r="AC103" s="174">
        <f>FV($U$6,AA$59,,-$S$53,0)</f>
        <v>2.0937779296542138</v>
      </c>
      <c r="AD103" s="174"/>
      <c r="AE103" s="174">
        <f>FV($U$6,AC$59,,-$S$53,0)</f>
        <v>2.1565912675438406</v>
      </c>
      <c r="AF103" s="174"/>
      <c r="AG103" s="174">
        <f>FV($U$6,AE$59,,-$S$53,0)</f>
        <v>2.2212890055701555</v>
      </c>
      <c r="AH103" s="174"/>
      <c r="AI103" s="174">
        <f>FV($U$6,AG$59,,-$S$53,0)</f>
        <v>2.2879276757372602</v>
      </c>
      <c r="AJ103" s="174"/>
      <c r="AK103" s="174">
        <f>FV($U$6,AI$59,,-$S$53,0)</f>
        <v>2.3565655060093778</v>
      </c>
      <c r="AL103" s="178"/>
      <c r="AM103" s="181"/>
    </row>
    <row r="104" spans="1:41" x14ac:dyDescent="0.35">
      <c r="A104" s="168">
        <f t="shared" si="60"/>
        <v>39</v>
      </c>
      <c r="B104" s="169"/>
      <c r="C104" s="174">
        <f t="shared" si="61"/>
        <v>1</v>
      </c>
      <c r="D104" s="171"/>
      <c r="E104" s="168" t="str">
        <f t="shared" si="62"/>
        <v>x</v>
      </c>
      <c r="F104" s="169"/>
      <c r="G104" s="169" t="str">
        <f t="shared" si="63"/>
        <v>x</v>
      </c>
      <c r="H104" s="169"/>
      <c r="I104" s="174">
        <f>FV($U$6,AY$9,,-$S$54,0)</f>
        <v>1.5579674166007644</v>
      </c>
      <c r="J104" s="174"/>
      <c r="K104" s="174">
        <f>FV($U$6,I$59,,-$S$54,0)</f>
        <v>1.6047064390987871</v>
      </c>
      <c r="L104" s="174"/>
      <c r="M104" s="174">
        <f>FV($U$6,K$59,,-$S$54,0)</f>
        <v>1.6528476322717507</v>
      </c>
      <c r="N104" s="174"/>
      <c r="O104" s="174">
        <f>FV($U$6,M$59,,-$S$54,0)</f>
        <v>1.7024330612399032</v>
      </c>
      <c r="P104" s="174"/>
      <c r="Q104" s="174">
        <f>FV($U$6,O$59,,-$S$54,0)</f>
        <v>1.7535060530771003</v>
      </c>
      <c r="R104" s="174"/>
      <c r="S104" s="174">
        <f>FV($U$6,Q$59,,-$S$54,0)</f>
        <v>1.8061112346694133</v>
      </c>
      <c r="T104" s="174"/>
      <c r="U104" s="174">
        <f>FV($U$6,S$59,,-$S$54,0)</f>
        <v>1.8602945717094954</v>
      </c>
      <c r="V104" s="174"/>
      <c r="W104" s="174">
        <f>FV($U$6,U$59,,-$S$54,0)</f>
        <v>1.9161034088607805</v>
      </c>
      <c r="X104" s="174"/>
      <c r="Y104" s="174">
        <f>FV($U$6,W$59,,-$S$54,0)</f>
        <v>1.973586511126604</v>
      </c>
      <c r="Z104" s="174"/>
      <c r="AA104" s="174">
        <f>FV($U$6,Y$59,,-$S$54,0)</f>
        <v>2.0327941064604018</v>
      </c>
      <c r="AB104" s="174"/>
      <c r="AC104" s="174">
        <f>FV($U$6,AA$59,,-$S$54,0)</f>
        <v>2.0937779296542138</v>
      </c>
      <c r="AD104" s="174"/>
      <c r="AE104" s="174">
        <f>FV($U$6,AC$59,,-$S$54,0)</f>
        <v>2.1565912675438406</v>
      </c>
      <c r="AF104" s="174"/>
      <c r="AG104" s="174">
        <f>FV($U$6,AE$59,,-$S$54,0)</f>
        <v>2.2212890055701555</v>
      </c>
      <c r="AH104" s="174"/>
      <c r="AI104" s="174">
        <f>FV($U$6,AG$59,,-$S$54,0)</f>
        <v>2.2879276757372602</v>
      </c>
      <c r="AJ104" s="174"/>
      <c r="AK104" s="174">
        <f>FV($U$6,AI$59,,-$S$54,0)</f>
        <v>2.3565655060093778</v>
      </c>
      <c r="AL104" s="178"/>
      <c r="AM104" s="181"/>
    </row>
    <row r="105" spans="1:41" x14ac:dyDescent="0.35">
      <c r="A105" s="180"/>
      <c r="B105" s="181"/>
      <c r="C105" s="185"/>
      <c r="D105" s="183"/>
      <c r="E105" s="180"/>
      <c r="F105" s="181"/>
      <c r="G105" s="181"/>
      <c r="H105" s="181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/>
      <c r="AH105" s="185"/>
      <c r="AI105" s="185"/>
      <c r="AJ105" s="185"/>
      <c r="AK105" s="185"/>
      <c r="AL105" s="181"/>
      <c r="AM105" s="181"/>
    </row>
    <row r="106" spans="1:41" ht="9.9499999999999993" customHeight="1" x14ac:dyDescent="0.35">
      <c r="C106" s="135"/>
      <c r="I106" s="215"/>
      <c r="J106" s="210"/>
      <c r="K106" s="215"/>
      <c r="L106" s="210"/>
      <c r="M106" s="215"/>
      <c r="N106" s="210"/>
      <c r="O106" s="215"/>
      <c r="P106" s="210"/>
      <c r="Q106" s="215"/>
      <c r="R106" s="210"/>
      <c r="S106" s="215"/>
      <c r="T106" s="210"/>
      <c r="U106" s="215"/>
      <c r="V106" s="210"/>
      <c r="W106" s="215"/>
      <c r="X106" s="210"/>
      <c r="Y106" s="215"/>
      <c r="Z106" s="210"/>
      <c r="AA106" s="215"/>
      <c r="AB106" s="210"/>
      <c r="AC106" s="215"/>
      <c r="AD106" s="210"/>
      <c r="AE106" s="215"/>
      <c r="AF106" s="210"/>
      <c r="AG106" s="215"/>
      <c r="AH106" s="210"/>
      <c r="AI106" s="215"/>
      <c r="AJ106" s="210"/>
      <c r="AK106" s="215"/>
    </row>
    <row r="107" spans="1:41" ht="24" thickBot="1" x14ac:dyDescent="0.4">
      <c r="C107" s="135"/>
      <c r="G107" s="141" t="str">
        <f>+G56</f>
        <v>Anticipated Expenditures, By Year</v>
      </c>
      <c r="I107" s="216">
        <f>SUM(I64:I106)</f>
        <v>23.369511249011467</v>
      </c>
      <c r="J107" s="217"/>
      <c r="K107" s="216">
        <f>SUM(K64:K106)</f>
        <v>24.070596586481813</v>
      </c>
      <c r="L107" s="217"/>
      <c r="M107" s="216">
        <f>SUM(M64:M106)</f>
        <v>24.79271448407626</v>
      </c>
      <c r="N107" s="217"/>
      <c r="O107" s="216">
        <f>SUM(O64:O106)</f>
        <v>25.536495918598558</v>
      </c>
      <c r="P107" s="217"/>
      <c r="Q107" s="216">
        <f>SUM(Q64:Q106)</f>
        <v>26.302590796156501</v>
      </c>
      <c r="R107" s="217"/>
      <c r="S107" s="216">
        <f>SUM(S64:S106)</f>
        <v>27.091668520041189</v>
      </c>
      <c r="T107" s="217"/>
      <c r="U107" s="216">
        <f>SUM(U64:U106)</f>
        <v>27.904418575642431</v>
      </c>
      <c r="V107" s="217"/>
      <c r="W107" s="216">
        <f>SUM(W64:W106)</f>
        <v>28.741551132911717</v>
      </c>
      <c r="X107" s="217"/>
      <c r="Y107" s="216">
        <f>SUM(Y64:Y106)</f>
        <v>29.603797666899066</v>
      </c>
      <c r="Z107" s="217"/>
      <c r="AA107" s="216">
        <f>SUM(AA64:AA106)</f>
        <v>30.491911596906018</v>
      </c>
      <c r="AB107" s="217"/>
      <c r="AC107" s="216">
        <f>SUM(AC64:AC106)</f>
        <v>31.406668944813198</v>
      </c>
      <c r="AD107" s="217"/>
      <c r="AE107" s="216">
        <f>SUM(AE64:AE106)</f>
        <v>32.348869013157618</v>
      </c>
      <c r="AF107" s="217"/>
      <c r="AG107" s="216">
        <f>SUM(AG64:AG106)</f>
        <v>33.319335083552339</v>
      </c>
      <c r="AH107" s="217"/>
      <c r="AI107" s="216">
        <f>SUM(AI64:AI106)</f>
        <v>34.318915136058905</v>
      </c>
      <c r="AJ107" s="217"/>
      <c r="AK107" s="216">
        <f>SUM(AK64:AK106)</f>
        <v>35.348482590140662</v>
      </c>
      <c r="AL107" s="178"/>
      <c r="AM107" s="178"/>
      <c r="AO107" s="178"/>
    </row>
    <row r="108" spans="1:41" ht="24" thickTop="1" x14ac:dyDescent="0.35">
      <c r="C108" s="135"/>
      <c r="I108" s="178"/>
      <c r="J108" s="178"/>
      <c r="K108" s="178"/>
      <c r="L108" s="178"/>
      <c r="M108" s="178"/>
      <c r="N108" s="178"/>
      <c r="O108" s="178"/>
      <c r="P108" s="178"/>
      <c r="Q108" s="178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/>
    </row>
    <row r="109" spans="1:41" x14ac:dyDescent="0.35">
      <c r="C109" s="135"/>
      <c r="I109" s="178"/>
      <c r="J109" s="178"/>
      <c r="K109" s="178"/>
      <c r="L109" s="178"/>
      <c r="M109" s="178"/>
      <c r="N109" s="178"/>
      <c r="O109" s="178"/>
      <c r="P109" s="178"/>
      <c r="Q109" s="178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7"/>
      <c r="AD109" s="207"/>
      <c r="AE109" s="207"/>
      <c r="AF109" s="207"/>
      <c r="AG109" s="207"/>
      <c r="AH109" s="207"/>
      <c r="AI109" s="207"/>
      <c r="AJ109" s="207"/>
      <c r="AK109" s="207"/>
    </row>
    <row r="110" spans="1:41" x14ac:dyDescent="0.35">
      <c r="C110" s="135"/>
      <c r="I110" s="178"/>
      <c r="J110" s="178"/>
      <c r="K110" s="178"/>
      <c r="L110" s="178"/>
      <c r="M110" s="178"/>
      <c r="N110" s="178"/>
      <c r="O110" s="178"/>
      <c r="P110" s="178"/>
      <c r="Q110" s="178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7"/>
      <c r="AD110" s="207"/>
      <c r="AE110" s="207"/>
      <c r="AF110" s="207"/>
      <c r="AG110" s="207"/>
      <c r="AH110" s="207"/>
      <c r="AI110" s="207"/>
      <c r="AJ110" s="207"/>
      <c r="AK110" s="207"/>
    </row>
    <row r="111" spans="1:41" x14ac:dyDescent="0.35">
      <c r="C111" s="135"/>
      <c r="I111" s="178"/>
      <c r="J111" s="178"/>
      <c r="K111" s="178"/>
      <c r="L111" s="178"/>
      <c r="M111" s="178"/>
      <c r="N111" s="178"/>
      <c r="O111" s="178"/>
      <c r="P111" s="178"/>
      <c r="Q111" s="178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</row>
    <row r="112" spans="1:41" x14ac:dyDescent="0.35">
      <c r="C112" s="135"/>
      <c r="I112" s="178"/>
      <c r="J112" s="178"/>
      <c r="K112" s="178"/>
      <c r="L112" s="178"/>
      <c r="M112" s="178"/>
      <c r="N112" s="178"/>
      <c r="O112" s="178"/>
      <c r="P112" s="178"/>
      <c r="Q112" s="178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</row>
    <row r="113" spans="3:37" x14ac:dyDescent="0.35">
      <c r="C113" s="135"/>
      <c r="I113" s="178"/>
      <c r="J113" s="178"/>
      <c r="K113" s="178"/>
      <c r="L113" s="178"/>
      <c r="M113" s="178"/>
      <c r="N113" s="178"/>
      <c r="O113" s="178"/>
      <c r="P113" s="178"/>
      <c r="Q113" s="178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</row>
    <row r="114" spans="3:37" x14ac:dyDescent="0.35">
      <c r="C114" s="135"/>
      <c r="I114" s="178"/>
      <c r="J114" s="178"/>
      <c r="K114" s="178"/>
      <c r="L114" s="178"/>
      <c r="M114" s="178"/>
      <c r="N114" s="178"/>
      <c r="O114" s="178"/>
      <c r="P114" s="178"/>
      <c r="Q114" s="178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7"/>
      <c r="AD114" s="207"/>
      <c r="AE114" s="207"/>
      <c r="AF114" s="207"/>
      <c r="AG114" s="207"/>
      <c r="AH114" s="207"/>
      <c r="AI114" s="207"/>
      <c r="AJ114" s="207"/>
      <c r="AK114" s="207"/>
    </row>
    <row r="115" spans="3:37" x14ac:dyDescent="0.35">
      <c r="C115" s="135"/>
      <c r="I115" s="178"/>
      <c r="J115" s="178"/>
      <c r="K115" s="178"/>
      <c r="L115" s="178"/>
      <c r="M115" s="178"/>
      <c r="N115" s="178"/>
      <c r="O115" s="178"/>
      <c r="P115" s="178"/>
      <c r="Q115" s="178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7"/>
      <c r="AK115" s="207"/>
    </row>
    <row r="116" spans="3:37" x14ac:dyDescent="0.35">
      <c r="C116" s="135"/>
      <c r="I116" s="178"/>
      <c r="J116" s="178"/>
      <c r="K116" s="178"/>
      <c r="L116" s="178"/>
      <c r="M116" s="178"/>
      <c r="N116" s="178"/>
      <c r="O116" s="178"/>
      <c r="P116" s="178"/>
      <c r="Q116" s="178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7"/>
      <c r="AD116" s="207"/>
      <c r="AE116" s="207"/>
      <c r="AF116" s="207"/>
      <c r="AG116" s="207"/>
      <c r="AH116" s="207"/>
      <c r="AI116" s="207"/>
      <c r="AJ116" s="207"/>
      <c r="AK116" s="207"/>
    </row>
    <row r="117" spans="3:37" x14ac:dyDescent="0.35">
      <c r="C117" s="135"/>
      <c r="I117" s="178"/>
      <c r="J117" s="178"/>
      <c r="K117" s="178"/>
      <c r="L117" s="178"/>
      <c r="M117" s="178"/>
      <c r="N117" s="178"/>
      <c r="O117" s="178"/>
      <c r="P117" s="178"/>
      <c r="Q117" s="178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/>
    </row>
    <row r="118" spans="3:37" x14ac:dyDescent="0.35">
      <c r="C118" s="135"/>
      <c r="I118" s="178"/>
      <c r="J118" s="178"/>
      <c r="K118" s="178"/>
      <c r="L118" s="178"/>
      <c r="M118" s="178"/>
      <c r="N118" s="178"/>
      <c r="O118" s="178"/>
      <c r="P118" s="178"/>
      <c r="Q118" s="178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7"/>
      <c r="AK118" s="207"/>
    </row>
    <row r="119" spans="3:37" x14ac:dyDescent="0.35">
      <c r="C119" s="135"/>
      <c r="I119" s="178"/>
      <c r="J119" s="178"/>
      <c r="K119" s="178"/>
      <c r="L119" s="178"/>
      <c r="M119" s="178"/>
      <c r="N119" s="178"/>
      <c r="O119" s="178"/>
      <c r="P119" s="178"/>
      <c r="Q119" s="178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7"/>
      <c r="AK119" s="207"/>
    </row>
  </sheetData>
  <mergeCells count="8">
    <mergeCell ref="S9:S10"/>
    <mergeCell ref="U9:U10"/>
    <mergeCell ref="A59:A60"/>
    <mergeCell ref="O9:O10"/>
    <mergeCell ref="Q9:Q10"/>
    <mergeCell ref="I9:I10"/>
    <mergeCell ref="A9:A10"/>
    <mergeCell ref="K9:M9"/>
  </mergeCells>
  <printOptions horizontalCentered="1"/>
  <pageMargins left="0.25" right="0.25" top="0.75" bottom="0.75" header="0.3" footer="0.3"/>
  <pageSetup paperSize="3" scale="28" orientation="landscape" copies="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F05B-26CA-4F43-8B79-73078E317074}">
  <dimension ref="A1:CE70"/>
  <sheetViews>
    <sheetView zoomScale="32" zoomScaleNormal="32" workbookViewId="0">
      <selection activeCell="O5" sqref="O5:O6"/>
    </sheetView>
  </sheetViews>
  <sheetFormatPr defaultRowHeight="23.25" x14ac:dyDescent="0.35"/>
  <cols>
    <col min="1" max="1" width="8.42578125" style="135" customWidth="1"/>
    <col min="2" max="2" width="1.7109375" style="136" customWidth="1"/>
    <col min="3" max="3" width="18.7109375" style="178" customWidth="1"/>
    <col min="4" max="4" width="1.7109375" style="138" customWidth="1"/>
    <col min="5" max="5" width="20.7109375" style="135" bestFit="1" customWidth="1"/>
    <col min="6" max="6" width="1.7109375" style="136" customWidth="1"/>
    <col min="7" max="7" width="92.5703125" style="136" bestFit="1" customWidth="1"/>
    <col min="8" max="8" width="1.7109375" style="136" customWidth="1"/>
    <col min="9" max="9" width="17.42578125" style="135" customWidth="1"/>
    <col min="10" max="10" width="1.7109375" style="136" customWidth="1"/>
    <col min="11" max="11" width="16.5703125" style="135" customWidth="1"/>
    <col min="12" max="12" width="1.7109375" style="136" customWidth="1"/>
    <col min="13" max="13" width="18.28515625" style="135" customWidth="1"/>
    <col min="14" max="14" width="2" style="136" customWidth="1"/>
    <col min="15" max="15" width="22.42578125" style="139" customWidth="1"/>
    <col min="16" max="16" width="1.7109375" style="136" customWidth="1"/>
    <col min="17" max="17" width="17.42578125" style="140" customWidth="1"/>
    <col min="18" max="18" width="1.7109375" style="136" customWidth="1"/>
    <col min="19" max="19" width="21.42578125" style="141" customWidth="1"/>
    <col min="20" max="20" width="1.7109375" style="141" customWidth="1"/>
    <col min="21" max="21" width="18.140625" style="136" customWidth="1"/>
    <col min="22" max="22" width="1.7109375" style="136" customWidth="1"/>
    <col min="23" max="23" width="19.7109375" style="136" bestFit="1" customWidth="1"/>
    <col min="24" max="24" width="1.7109375" style="136" customWidth="1"/>
    <col min="25" max="25" width="19.7109375" style="136" bestFit="1" customWidth="1"/>
    <col min="26" max="26" width="1.7109375" style="136" customWidth="1"/>
    <col min="27" max="27" width="19.7109375" style="136" bestFit="1" customWidth="1"/>
    <col min="28" max="28" width="1.7109375" style="136" customWidth="1"/>
    <col min="29" max="29" width="19.7109375" style="136" bestFit="1" customWidth="1"/>
    <col min="30" max="30" width="1.7109375" style="136" customWidth="1"/>
    <col min="31" max="31" width="19.7109375" style="136" bestFit="1" customWidth="1"/>
    <col min="32" max="32" width="1.7109375" style="136" customWidth="1"/>
    <col min="33" max="33" width="19.7109375" style="136" bestFit="1" customWidth="1"/>
    <col min="34" max="34" width="1.7109375" style="136" customWidth="1"/>
    <col min="35" max="35" width="19.7109375" style="136" bestFit="1" customWidth="1"/>
    <col min="36" max="36" width="1.7109375" style="136" customWidth="1"/>
    <col min="37" max="37" width="19.7109375" style="136" bestFit="1" customWidth="1"/>
    <col min="38" max="38" width="1.7109375" style="136" customWidth="1"/>
    <col min="39" max="39" width="19.7109375" style="136" bestFit="1" customWidth="1"/>
    <col min="40" max="40" width="1.7109375" style="136" customWidth="1"/>
    <col min="41" max="41" width="19.7109375" style="136" bestFit="1" customWidth="1"/>
    <col min="42" max="42" width="1.7109375" style="136" customWidth="1"/>
    <col min="43" max="43" width="19.7109375" style="136" bestFit="1" customWidth="1"/>
    <col min="44" max="44" width="1.7109375" style="136" customWidth="1"/>
    <col min="45" max="45" width="19.7109375" style="136" bestFit="1" customWidth="1"/>
    <col min="46" max="46" width="1.7109375" style="136" customWidth="1"/>
    <col min="47" max="47" width="19.7109375" style="136" bestFit="1" customWidth="1"/>
    <col min="48" max="48" width="1.7109375" style="136" customWidth="1"/>
    <col min="49" max="49" width="19.7109375" style="136" bestFit="1" customWidth="1"/>
    <col min="50" max="50" width="1.7109375" style="136" customWidth="1"/>
    <col min="51" max="51" width="19.7109375" style="136" bestFit="1" customWidth="1"/>
    <col min="52" max="52" width="1.7109375" style="136" customWidth="1"/>
    <col min="53" max="53" width="13.42578125" style="136" bestFit="1" customWidth="1"/>
    <col min="54" max="54" width="1.7109375" style="136" customWidth="1"/>
    <col min="55" max="55" width="13.42578125" style="136" bestFit="1" customWidth="1"/>
    <col min="56" max="56" width="1.7109375" style="136" customWidth="1"/>
    <col min="57" max="57" width="13.42578125" style="136" bestFit="1" customWidth="1"/>
    <col min="58" max="58" width="1.7109375" style="136" customWidth="1"/>
    <col min="59" max="59" width="13.42578125" style="136" bestFit="1" customWidth="1"/>
    <col min="60" max="60" width="1.7109375" style="136" customWidth="1"/>
    <col min="61" max="61" width="13.42578125" style="136" customWidth="1"/>
    <col min="62" max="62" width="1.7109375" style="136" customWidth="1"/>
    <col min="63" max="63" width="9.140625" style="136"/>
    <col min="64" max="64" width="1.7109375" style="136" customWidth="1"/>
    <col min="65" max="65" width="9.140625" style="136"/>
    <col min="66" max="66" width="1.7109375" style="136" customWidth="1"/>
    <col min="67" max="67" width="9.140625" style="136"/>
    <col min="68" max="68" width="1.7109375" style="136" customWidth="1"/>
    <col min="69" max="69" width="14.5703125" style="136" bestFit="1" customWidth="1"/>
    <col min="70" max="70" width="1.7109375" style="136" customWidth="1"/>
    <col min="71" max="71" width="9.140625" style="136"/>
    <col min="72" max="72" width="1.7109375" style="136" customWidth="1"/>
    <col min="73" max="73" width="9.140625" style="136"/>
    <col min="74" max="74" width="1.7109375" style="136" customWidth="1"/>
    <col min="75" max="75" width="9.140625" style="136"/>
    <col min="76" max="76" width="1.7109375" style="136" customWidth="1"/>
    <col min="77" max="77" width="9.140625" style="136"/>
    <col min="78" max="78" width="1.7109375" style="136" customWidth="1"/>
    <col min="79" max="16384" width="9.140625" style="136"/>
  </cols>
  <sheetData>
    <row r="1" spans="1:83" x14ac:dyDescent="0.35">
      <c r="M1" s="223"/>
    </row>
    <row r="2" spans="1:83" x14ac:dyDescent="0.35">
      <c r="C2" s="137"/>
    </row>
    <row r="3" spans="1:83" x14ac:dyDescent="0.35">
      <c r="C3" s="137"/>
      <c r="G3" s="142" t="s">
        <v>31</v>
      </c>
    </row>
    <row r="4" spans="1:83" ht="116.45" customHeight="1" x14ac:dyDescent="0.35">
      <c r="C4" s="137"/>
    </row>
    <row r="5" spans="1:83" x14ac:dyDescent="0.35">
      <c r="C5" s="137"/>
      <c r="G5" s="144" t="s">
        <v>8</v>
      </c>
      <c r="O5" s="239"/>
      <c r="U5" s="145" t="s">
        <v>10</v>
      </c>
    </row>
    <row r="6" spans="1:83" x14ac:dyDescent="0.35">
      <c r="C6" s="149"/>
      <c r="G6" s="142" t="s">
        <v>9</v>
      </c>
      <c r="O6" s="239"/>
      <c r="T6" s="146" t="s">
        <v>11</v>
      </c>
      <c r="U6" s="147">
        <f>+'Roofs 1'!V3</f>
        <v>0.03</v>
      </c>
      <c r="V6" s="148" t="s">
        <v>13</v>
      </c>
    </row>
    <row r="7" spans="1:83" x14ac:dyDescent="0.35">
      <c r="C7" s="137"/>
      <c r="E7" s="150"/>
      <c r="F7" s="151"/>
      <c r="G7" s="152" t="str">
        <f>+'Roofs 1'!H5</f>
        <v>Association</v>
      </c>
      <c r="H7" s="151"/>
      <c r="I7" s="150"/>
      <c r="T7" s="146" t="s">
        <v>12</v>
      </c>
      <c r="U7" s="141" t="s">
        <v>17</v>
      </c>
    </row>
    <row r="8" spans="1:83" x14ac:dyDescent="0.35">
      <c r="C8" s="137"/>
    </row>
    <row r="9" spans="1:83" s="141" customFormat="1" ht="28.5" customHeight="1" x14ac:dyDescent="0.35">
      <c r="A9" s="283" t="s">
        <v>0</v>
      </c>
      <c r="C9" s="153" t="s">
        <v>32</v>
      </c>
      <c r="D9" s="138"/>
      <c r="E9" s="142"/>
      <c r="I9" s="281" t="s">
        <v>22</v>
      </c>
      <c r="K9" s="285" t="s">
        <v>5</v>
      </c>
      <c r="L9" s="285"/>
      <c r="M9" s="285"/>
      <c r="O9" s="281" t="s">
        <v>21</v>
      </c>
      <c r="Q9" s="286" t="str">
        <f>+'Roofs 1'!R6</f>
        <v>2024     Unit Cost</v>
      </c>
      <c r="S9" s="288" t="str">
        <f>+'Roofs 1'!T6</f>
        <v xml:space="preserve">2024 Cost of Replacement </v>
      </c>
      <c r="U9" s="281" t="s">
        <v>6</v>
      </c>
      <c r="V9" s="154"/>
      <c r="W9" s="142">
        <v>1</v>
      </c>
      <c r="X9" s="142"/>
      <c r="Y9" s="142">
        <v>2</v>
      </c>
      <c r="Z9" s="142"/>
      <c r="AA9" s="142">
        <v>3</v>
      </c>
      <c r="AB9" s="142"/>
      <c r="AC9" s="142">
        <v>4</v>
      </c>
      <c r="AD9" s="142"/>
      <c r="AE9" s="142">
        <v>5</v>
      </c>
      <c r="AF9" s="142"/>
      <c r="AG9" s="142">
        <v>6</v>
      </c>
      <c r="AH9" s="142"/>
      <c r="AI9" s="142">
        <v>7</v>
      </c>
      <c r="AJ9" s="142"/>
      <c r="AK9" s="142">
        <v>8</v>
      </c>
      <c r="AL9" s="142"/>
      <c r="AM9" s="142">
        <v>9</v>
      </c>
      <c r="AN9" s="142"/>
      <c r="AO9" s="142">
        <v>10</v>
      </c>
      <c r="AP9" s="142"/>
      <c r="AQ9" s="142">
        <v>11</v>
      </c>
      <c r="AR9" s="142"/>
      <c r="AS9" s="142">
        <v>12</v>
      </c>
      <c r="AT9" s="142"/>
      <c r="AU9" s="142">
        <v>13</v>
      </c>
      <c r="AV9" s="142"/>
      <c r="AW9" s="142">
        <v>14</v>
      </c>
      <c r="AX9" s="142"/>
      <c r="AY9" s="142">
        <v>15</v>
      </c>
      <c r="AZ9" s="142"/>
    </row>
    <row r="10" spans="1:83" s="155" customFormat="1" ht="27.75" customHeight="1" x14ac:dyDescent="0.25">
      <c r="A10" s="284"/>
      <c r="C10" s="156" t="s">
        <v>30</v>
      </c>
      <c r="D10" s="157"/>
      <c r="E10" s="158" t="s">
        <v>1</v>
      </c>
      <c r="G10" s="158" t="s">
        <v>2</v>
      </c>
      <c r="I10" s="282"/>
      <c r="K10" s="158" t="s">
        <v>3</v>
      </c>
      <c r="M10" s="224" t="s">
        <v>4</v>
      </c>
      <c r="O10" s="282"/>
      <c r="Q10" s="287"/>
      <c r="S10" s="289"/>
      <c r="U10" s="282"/>
      <c r="V10" s="154"/>
      <c r="W10" s="218">
        <f>+'Roofs 1'!X7</f>
        <v>2024</v>
      </c>
      <c r="X10" s="158"/>
      <c r="Y10" s="158">
        <f t="shared" ref="Y10:AY10" si="0">W10+1</f>
        <v>2025</v>
      </c>
      <c r="Z10" s="158">
        <f t="shared" si="0"/>
        <v>1</v>
      </c>
      <c r="AA10" s="158">
        <f t="shared" si="0"/>
        <v>2026</v>
      </c>
      <c r="AB10" s="158">
        <f t="shared" si="0"/>
        <v>2</v>
      </c>
      <c r="AC10" s="158">
        <f t="shared" si="0"/>
        <v>2027</v>
      </c>
      <c r="AD10" s="158">
        <f t="shared" si="0"/>
        <v>3</v>
      </c>
      <c r="AE10" s="158">
        <f t="shared" si="0"/>
        <v>2028</v>
      </c>
      <c r="AF10" s="158">
        <f t="shared" si="0"/>
        <v>4</v>
      </c>
      <c r="AG10" s="158">
        <f t="shared" si="0"/>
        <v>2029</v>
      </c>
      <c r="AH10" s="158">
        <f t="shared" si="0"/>
        <v>5</v>
      </c>
      <c r="AI10" s="158">
        <f t="shared" si="0"/>
        <v>2030</v>
      </c>
      <c r="AJ10" s="158">
        <f t="shared" si="0"/>
        <v>6</v>
      </c>
      <c r="AK10" s="158">
        <f t="shared" si="0"/>
        <v>2031</v>
      </c>
      <c r="AL10" s="158">
        <f t="shared" si="0"/>
        <v>7</v>
      </c>
      <c r="AM10" s="158">
        <f t="shared" si="0"/>
        <v>2032</v>
      </c>
      <c r="AN10" s="158">
        <f t="shared" si="0"/>
        <v>8</v>
      </c>
      <c r="AO10" s="158">
        <f t="shared" si="0"/>
        <v>2033</v>
      </c>
      <c r="AP10" s="158">
        <f t="shared" si="0"/>
        <v>9</v>
      </c>
      <c r="AQ10" s="158">
        <f t="shared" si="0"/>
        <v>2034</v>
      </c>
      <c r="AR10" s="158">
        <f t="shared" si="0"/>
        <v>10</v>
      </c>
      <c r="AS10" s="158">
        <f t="shared" si="0"/>
        <v>2035</v>
      </c>
      <c r="AT10" s="158">
        <f t="shared" si="0"/>
        <v>11</v>
      </c>
      <c r="AU10" s="158">
        <f t="shared" si="0"/>
        <v>2036</v>
      </c>
      <c r="AV10" s="158">
        <f t="shared" si="0"/>
        <v>12</v>
      </c>
      <c r="AW10" s="158">
        <f t="shared" si="0"/>
        <v>2037</v>
      </c>
      <c r="AX10" s="158">
        <f t="shared" si="0"/>
        <v>13</v>
      </c>
      <c r="AY10" s="158">
        <f t="shared" si="0"/>
        <v>2038</v>
      </c>
    </row>
    <row r="11" spans="1:83" s="155" customFormat="1" ht="9.4" customHeight="1" x14ac:dyDescent="0.25">
      <c r="A11" s="154"/>
      <c r="C11" s="161"/>
      <c r="D11" s="157"/>
      <c r="E11" s="154"/>
      <c r="G11" s="154"/>
      <c r="I11" s="154"/>
      <c r="K11" s="154"/>
      <c r="M11" s="154"/>
      <c r="Q11" s="162"/>
      <c r="S11" s="163"/>
      <c r="U11" s="154"/>
      <c r="V11" s="154"/>
    </row>
    <row r="12" spans="1:83" x14ac:dyDescent="0.35">
      <c r="C12" s="137"/>
      <c r="G12" s="144" t="s">
        <v>47</v>
      </c>
      <c r="O12" s="136"/>
      <c r="Q12" s="139"/>
      <c r="S12" s="140"/>
      <c r="T12" s="136"/>
      <c r="U12" s="141"/>
      <c r="V12" s="141"/>
      <c r="W12" s="135"/>
      <c r="X12" s="135">
        <f>+'Roofs 1'!Y9</f>
        <v>0</v>
      </c>
      <c r="Y12" s="135"/>
      <c r="Z12" s="135">
        <f>+'Roofs 1'!AA9</f>
        <v>0</v>
      </c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</row>
    <row r="13" spans="1:83" ht="9.4" customHeight="1" x14ac:dyDescent="0.35">
      <c r="C13" s="137"/>
      <c r="G13" s="144"/>
      <c r="O13" s="136"/>
      <c r="Q13" s="165"/>
      <c r="R13" s="135"/>
      <c r="S13" s="166"/>
      <c r="T13" s="135"/>
      <c r="U13" s="142"/>
      <c r="V13" s="141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202"/>
      <c r="BY13" s="202"/>
      <c r="BZ13" s="202"/>
      <c r="CA13" s="202"/>
      <c r="CB13" s="167"/>
      <c r="CC13" s="167"/>
      <c r="CD13" s="167"/>
      <c r="CE13" s="167"/>
    </row>
    <row r="14" spans="1:83" x14ac:dyDescent="0.35">
      <c r="A14" s="219">
        <f>'Maintain (PRN) 1'!A35+1</f>
        <v>63</v>
      </c>
      <c r="B14" s="169"/>
      <c r="C14" s="174">
        <v>1</v>
      </c>
      <c r="D14" s="171"/>
      <c r="E14" s="168" t="s">
        <v>45</v>
      </c>
      <c r="F14" s="169"/>
      <c r="G14" s="169" t="s">
        <v>45</v>
      </c>
      <c r="H14" s="169"/>
      <c r="I14" s="168" t="s">
        <v>45</v>
      </c>
      <c r="J14" s="169"/>
      <c r="K14" s="225" t="s">
        <v>45</v>
      </c>
      <c r="L14" s="169"/>
      <c r="M14" s="168">
        <v>1</v>
      </c>
      <c r="N14" s="237">
        <f>'Roofs 1'!P4</f>
        <v>2023</v>
      </c>
      <c r="O14" s="219">
        <f>+$W$10-1+M14</f>
        <v>2024</v>
      </c>
      <c r="P14" s="169"/>
      <c r="Q14" s="172">
        <v>1</v>
      </c>
      <c r="R14" s="173"/>
      <c r="S14" s="174">
        <f>C14*Q14</f>
        <v>1</v>
      </c>
      <c r="T14" s="174"/>
      <c r="U14" s="175">
        <f t="shared" ref="U14:U22" si="1">SUM(W14:AY14)+SUM(I40:AK40)</f>
        <v>1</v>
      </c>
      <c r="V14" s="171"/>
      <c r="W14" s="174">
        <f t="shared" ref="W14:W22" si="2">IF(W$9=$M14,FV($U$6,$M14-1,,-$S14,0),0)</f>
        <v>1</v>
      </c>
      <c r="X14" s="174"/>
      <c r="Y14" s="174">
        <f>IF(Y$9=$M14,FV($U$6,$M14-1,,-$S14,0),0)</f>
        <v>0</v>
      </c>
      <c r="Z14" s="174"/>
      <c r="AA14" s="174">
        <f>IF(AA$9=$M14,FV($U$6,$M14-1,,-$S14,0),0)</f>
        <v>0</v>
      </c>
      <c r="AB14" s="174"/>
      <c r="AC14" s="174">
        <f>IF(AC$9=$M14,FV($U$6,$M14-1,,-$S14,0),0)</f>
        <v>0</v>
      </c>
      <c r="AD14" s="174"/>
      <c r="AE14" s="174">
        <f>IF(AE$9=$M14,FV($U$6,$M14-1,,-$S14,0),0)</f>
        <v>0</v>
      </c>
      <c r="AF14" s="174"/>
      <c r="AG14" s="174">
        <f>IF(AG$9=$M14,FV($U$6,$M14-1,,-$S14,0),0)</f>
        <v>0</v>
      </c>
      <c r="AH14" s="174"/>
      <c r="AI14" s="174">
        <f>IF(AI$9=$M14,FV($U$6,$M14-1,,-$S14,0),0)</f>
        <v>0</v>
      </c>
      <c r="AJ14" s="174"/>
      <c r="AK14" s="174">
        <f>IF(AK$9=$M14,FV($U$6,$M14-1,,-$S14,0),0)</f>
        <v>0</v>
      </c>
      <c r="AL14" s="174"/>
      <c r="AM14" s="174">
        <f>IF(AM$9=$M14,FV($U$6,$M14-1,,-$S14,0),0)</f>
        <v>0</v>
      </c>
      <c r="AN14" s="174"/>
      <c r="AO14" s="174">
        <f>IF(AO$9=$M14,FV($U$6,$M14-1,,-$S14,0),0)</f>
        <v>0</v>
      </c>
      <c r="AP14" s="174"/>
      <c r="AQ14" s="174">
        <f>IF(AQ$9=$M14,FV($U$6,$M14-1,,-$S14,0),0)</f>
        <v>0</v>
      </c>
      <c r="AR14" s="174"/>
      <c r="AS14" s="174">
        <f>IF(AS$9=$M14,FV($U$6,$M14-1,,-$S14,0),0)</f>
        <v>0</v>
      </c>
      <c r="AT14" s="174"/>
      <c r="AU14" s="174">
        <f>IF(AU$9=$M14,FV($U$6,$M14-1,,-$S14,0),0)</f>
        <v>0</v>
      </c>
      <c r="AV14" s="174"/>
      <c r="AW14" s="174">
        <f>IF(AW$9=$M14,FV($U$6,$M14-1,,-$S14,0),0)</f>
        <v>0</v>
      </c>
      <c r="AX14" s="174"/>
      <c r="AY14" s="174">
        <f>IF(AY$9=$M14,FV($U$6,$M14-1,,-$S14,0),0)</f>
        <v>0</v>
      </c>
      <c r="BJ14" s="221"/>
      <c r="BK14" s="221"/>
      <c r="BL14" s="221"/>
      <c r="BM14" s="221"/>
      <c r="BN14" s="221"/>
      <c r="BO14" s="221"/>
      <c r="BP14" s="221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167"/>
      <c r="CC14" s="167"/>
      <c r="CD14" s="167"/>
      <c r="CE14" s="167"/>
    </row>
    <row r="15" spans="1:83" x14ac:dyDescent="0.35">
      <c r="A15" s="168">
        <f>A14+1</f>
        <v>64</v>
      </c>
      <c r="B15" s="169"/>
      <c r="C15" s="174">
        <v>1</v>
      </c>
      <c r="D15" s="171"/>
      <c r="E15" s="168" t="s">
        <v>45</v>
      </c>
      <c r="F15" s="169"/>
      <c r="G15" s="169" t="s">
        <v>45</v>
      </c>
      <c r="H15" s="169"/>
      <c r="I15" s="168" t="s">
        <v>45</v>
      </c>
      <c r="J15" s="169"/>
      <c r="K15" s="225" t="s">
        <v>45</v>
      </c>
      <c r="L15" s="169"/>
      <c r="M15" s="168">
        <v>1</v>
      </c>
      <c r="N15" s="237">
        <f t="shared" ref="N15:N22" si="3">N14</f>
        <v>2023</v>
      </c>
      <c r="O15" s="219">
        <f t="shared" ref="O15:O27" si="4">+$W$10-1+M15</f>
        <v>2024</v>
      </c>
      <c r="P15" s="169"/>
      <c r="Q15" s="172">
        <v>1</v>
      </c>
      <c r="R15" s="173"/>
      <c r="S15" s="174">
        <f t="shared" ref="S15:S27" si="5">C15*Q15</f>
        <v>1</v>
      </c>
      <c r="T15" s="174"/>
      <c r="U15" s="175">
        <f t="shared" si="1"/>
        <v>1</v>
      </c>
      <c r="V15" s="171"/>
      <c r="W15" s="174">
        <f t="shared" si="2"/>
        <v>1</v>
      </c>
      <c r="X15" s="174"/>
      <c r="Y15" s="174">
        <f>IF(Y$9=$M15,FV($U$6,$M15-1,,-$S15,0),0)</f>
        <v>0</v>
      </c>
      <c r="Z15" s="174"/>
      <c r="AA15" s="174">
        <f>IF(AA$9=$M15,FV($U$6,$M15-1,,-$S15,0),0)</f>
        <v>0</v>
      </c>
      <c r="AB15" s="174"/>
      <c r="AC15" s="174">
        <f>IF(AC$9=$M15,FV($U$6,$M15-1,,-$S15,0),0)</f>
        <v>0</v>
      </c>
      <c r="AD15" s="174"/>
      <c r="AE15" s="174">
        <f>IF(AE$9=$M15,FV($U$6,$M15-1,,-$S15,0),0)</f>
        <v>0</v>
      </c>
      <c r="AF15" s="174"/>
      <c r="AG15" s="174">
        <f>IF(AG$9=$M15,FV($U$6,$M15-1,,-$S15,0),0)</f>
        <v>0</v>
      </c>
      <c r="AH15" s="174"/>
      <c r="AI15" s="174">
        <f>IF(AI$9=$M15,FV($U$6,$M15-1,,-$S15,0),0)</f>
        <v>0</v>
      </c>
      <c r="AJ15" s="174"/>
      <c r="AK15" s="174">
        <f>IF(AK$9=$M15,FV($U$6,$M15-1,,-$S15,0),0)</f>
        <v>0</v>
      </c>
      <c r="AL15" s="174"/>
      <c r="AM15" s="174">
        <f>IF(AM$9=$M15,FV($U$6,$M15-1,,-$S15,0),0)</f>
        <v>0</v>
      </c>
      <c r="AN15" s="174"/>
      <c r="AO15" s="174">
        <f>IF(AO$9=$M15,FV($U$6,$M15-1,,-$S15,0),0)</f>
        <v>0</v>
      </c>
      <c r="AP15" s="174"/>
      <c r="AQ15" s="174">
        <f>IF(AQ$9=$M15,FV($U$6,$M15-1,,-$S15,0),0)</f>
        <v>0</v>
      </c>
      <c r="AR15" s="174"/>
      <c r="AS15" s="174">
        <f>IF(AS$9=$M15,FV($U$6,$M15-1,,-$S15,0),0)</f>
        <v>0</v>
      </c>
      <c r="AT15" s="174"/>
      <c r="AU15" s="174">
        <f>IF(AU$9=$M15,FV($U$6,$M15-1,,-$S15,0),0)</f>
        <v>0</v>
      </c>
      <c r="AV15" s="174"/>
      <c r="AW15" s="174">
        <f>IF(AW$9=$M15,FV($U$6,$M15-1,,-$S15,0),0)</f>
        <v>0</v>
      </c>
      <c r="AX15" s="174"/>
      <c r="AY15" s="174">
        <f>IF(AY$9=$M15,FV($U$6,$M15-1,,-$S15,0),0)</f>
        <v>0</v>
      </c>
      <c r="BJ15" s="221"/>
      <c r="BK15" s="221"/>
      <c r="BL15" s="221"/>
      <c r="BM15" s="221"/>
      <c r="BN15" s="221"/>
      <c r="BO15" s="221"/>
      <c r="BP15" s="221"/>
      <c r="BQ15" s="202"/>
      <c r="BR15" s="202"/>
      <c r="BS15" s="202"/>
      <c r="BT15" s="202"/>
      <c r="BU15" s="202"/>
      <c r="BV15" s="202"/>
      <c r="BW15" s="202"/>
      <c r="BX15" s="202"/>
      <c r="BY15" s="202"/>
      <c r="BZ15" s="202"/>
      <c r="CA15" s="202"/>
      <c r="CB15" s="167"/>
      <c r="CC15" s="167"/>
      <c r="CD15" s="167"/>
      <c r="CE15" s="167"/>
    </row>
    <row r="16" spans="1:83" x14ac:dyDescent="0.35">
      <c r="A16" s="168">
        <f t="shared" ref="A16:A22" si="6">A15+1</f>
        <v>65</v>
      </c>
      <c r="B16" s="169"/>
      <c r="C16" s="174">
        <v>1</v>
      </c>
      <c r="D16" s="171"/>
      <c r="E16" s="168" t="s">
        <v>45</v>
      </c>
      <c r="F16" s="169"/>
      <c r="G16" s="169" t="s">
        <v>45</v>
      </c>
      <c r="H16" s="169"/>
      <c r="I16" s="168" t="s">
        <v>45</v>
      </c>
      <c r="J16" s="169"/>
      <c r="K16" s="225" t="s">
        <v>45</v>
      </c>
      <c r="L16" s="169"/>
      <c r="M16" s="168">
        <v>1</v>
      </c>
      <c r="N16" s="237">
        <f t="shared" si="3"/>
        <v>2023</v>
      </c>
      <c r="O16" s="219">
        <f t="shared" si="4"/>
        <v>2024</v>
      </c>
      <c r="P16" s="169"/>
      <c r="Q16" s="172">
        <v>1</v>
      </c>
      <c r="R16" s="173"/>
      <c r="S16" s="174">
        <f t="shared" si="5"/>
        <v>1</v>
      </c>
      <c r="T16" s="174"/>
      <c r="U16" s="175">
        <f t="shared" si="1"/>
        <v>1</v>
      </c>
      <c r="V16" s="171"/>
      <c r="W16" s="174">
        <f t="shared" si="2"/>
        <v>1</v>
      </c>
      <c r="X16" s="174"/>
      <c r="Y16" s="174">
        <f t="shared" ref="Y16:AY22" si="7">IF(Y$9=$M16,FV($U$6,$M16-1,,-$S16,0),0)</f>
        <v>0</v>
      </c>
      <c r="Z16" s="174"/>
      <c r="AA16" s="174">
        <f t="shared" si="7"/>
        <v>0</v>
      </c>
      <c r="AB16" s="174"/>
      <c r="AC16" s="174">
        <f t="shared" si="7"/>
        <v>0</v>
      </c>
      <c r="AD16" s="174"/>
      <c r="AE16" s="174">
        <f t="shared" si="7"/>
        <v>0</v>
      </c>
      <c r="AF16" s="174"/>
      <c r="AG16" s="174">
        <f t="shared" si="7"/>
        <v>0</v>
      </c>
      <c r="AH16" s="174"/>
      <c r="AI16" s="174">
        <f t="shared" si="7"/>
        <v>0</v>
      </c>
      <c r="AJ16" s="174"/>
      <c r="AK16" s="174">
        <f t="shared" si="7"/>
        <v>0</v>
      </c>
      <c r="AL16" s="174"/>
      <c r="AM16" s="174">
        <f t="shared" si="7"/>
        <v>0</v>
      </c>
      <c r="AN16" s="174"/>
      <c r="AO16" s="174">
        <f t="shared" si="7"/>
        <v>0</v>
      </c>
      <c r="AP16" s="174"/>
      <c r="AQ16" s="174">
        <f t="shared" si="7"/>
        <v>0</v>
      </c>
      <c r="AR16" s="174"/>
      <c r="AS16" s="174">
        <f t="shared" si="7"/>
        <v>0</v>
      </c>
      <c r="AT16" s="174"/>
      <c r="AU16" s="174">
        <f t="shared" si="7"/>
        <v>0</v>
      </c>
      <c r="AV16" s="174"/>
      <c r="AW16" s="174">
        <f t="shared" si="7"/>
        <v>0</v>
      </c>
      <c r="AX16" s="174"/>
      <c r="AY16" s="174">
        <f t="shared" si="7"/>
        <v>0</v>
      </c>
      <c r="BJ16" s="221"/>
      <c r="BK16" s="221"/>
      <c r="BL16" s="221"/>
      <c r="BM16" s="221"/>
      <c r="BN16" s="221"/>
      <c r="BO16" s="221"/>
      <c r="BP16" s="221"/>
      <c r="BQ16" s="202"/>
      <c r="BR16" s="202"/>
      <c r="BS16" s="202"/>
      <c r="BT16" s="202"/>
      <c r="BU16" s="202"/>
      <c r="BV16" s="202"/>
      <c r="BW16" s="202"/>
      <c r="BX16" s="202"/>
      <c r="BY16" s="202"/>
      <c r="BZ16" s="202"/>
      <c r="CA16" s="202"/>
      <c r="CB16" s="167"/>
      <c r="CC16" s="167"/>
      <c r="CD16" s="167"/>
      <c r="CE16" s="167"/>
    </row>
    <row r="17" spans="1:83" x14ac:dyDescent="0.35">
      <c r="A17" s="180">
        <f t="shared" si="6"/>
        <v>66</v>
      </c>
      <c r="C17" s="178">
        <v>1</v>
      </c>
      <c r="E17" s="135" t="s">
        <v>45</v>
      </c>
      <c r="G17" s="136" t="s">
        <v>45</v>
      </c>
      <c r="I17" s="135" t="s">
        <v>45</v>
      </c>
      <c r="K17" s="143" t="s">
        <v>45</v>
      </c>
      <c r="M17" s="135">
        <v>1</v>
      </c>
      <c r="N17" s="238">
        <f t="shared" si="3"/>
        <v>2023</v>
      </c>
      <c r="O17" s="219">
        <f t="shared" si="4"/>
        <v>2024</v>
      </c>
      <c r="Q17" s="176">
        <v>1</v>
      </c>
      <c r="R17" s="177"/>
      <c r="S17" s="178">
        <f t="shared" si="5"/>
        <v>1</v>
      </c>
      <c r="T17" s="178"/>
      <c r="U17" s="179">
        <f t="shared" si="1"/>
        <v>1</v>
      </c>
      <c r="V17" s="138"/>
      <c r="W17" s="185">
        <f t="shared" si="2"/>
        <v>1</v>
      </c>
      <c r="X17" s="185"/>
      <c r="Y17" s="185">
        <f t="shared" si="7"/>
        <v>0</v>
      </c>
      <c r="Z17" s="185"/>
      <c r="AA17" s="185">
        <f t="shared" si="7"/>
        <v>0</v>
      </c>
      <c r="AB17" s="185"/>
      <c r="AC17" s="185">
        <f t="shared" si="7"/>
        <v>0</v>
      </c>
      <c r="AD17" s="185"/>
      <c r="AE17" s="185">
        <f t="shared" si="7"/>
        <v>0</v>
      </c>
      <c r="AF17" s="185"/>
      <c r="AG17" s="185">
        <f t="shared" si="7"/>
        <v>0</v>
      </c>
      <c r="AH17" s="185"/>
      <c r="AI17" s="185">
        <f t="shared" si="7"/>
        <v>0</v>
      </c>
      <c r="AJ17" s="185"/>
      <c r="AK17" s="185">
        <f t="shared" si="7"/>
        <v>0</v>
      </c>
      <c r="AL17" s="185"/>
      <c r="AM17" s="185">
        <f t="shared" si="7"/>
        <v>0</v>
      </c>
      <c r="AN17" s="185"/>
      <c r="AO17" s="185">
        <f t="shared" si="7"/>
        <v>0</v>
      </c>
      <c r="AP17" s="185"/>
      <c r="AQ17" s="185">
        <f t="shared" si="7"/>
        <v>0</v>
      </c>
      <c r="AR17" s="185"/>
      <c r="AS17" s="185">
        <f t="shared" si="7"/>
        <v>0</v>
      </c>
      <c r="AT17" s="185"/>
      <c r="AU17" s="185">
        <f t="shared" si="7"/>
        <v>0</v>
      </c>
      <c r="AV17" s="185"/>
      <c r="AW17" s="185">
        <f t="shared" si="7"/>
        <v>0</v>
      </c>
      <c r="AX17" s="185"/>
      <c r="AY17" s="185">
        <f t="shared" si="7"/>
        <v>0</v>
      </c>
      <c r="BJ17" s="221"/>
      <c r="BK17" s="221"/>
      <c r="BL17" s="221"/>
      <c r="BM17" s="221"/>
      <c r="BN17" s="221"/>
      <c r="BO17" s="221"/>
      <c r="BP17" s="221"/>
      <c r="BQ17" s="202"/>
      <c r="BR17" s="202"/>
      <c r="BS17" s="202"/>
      <c r="BT17" s="202"/>
      <c r="BU17" s="202"/>
      <c r="BV17" s="202"/>
      <c r="BW17" s="202"/>
      <c r="BX17" s="202"/>
      <c r="BY17" s="202"/>
      <c r="BZ17" s="202"/>
      <c r="CA17" s="202"/>
      <c r="CB17" s="167"/>
      <c r="CC17" s="167"/>
      <c r="CD17" s="167"/>
      <c r="CE17" s="167"/>
    </row>
    <row r="18" spans="1:83" x14ac:dyDescent="0.35">
      <c r="A18" s="180">
        <f t="shared" si="6"/>
        <v>67</v>
      </c>
      <c r="C18" s="178">
        <v>1</v>
      </c>
      <c r="E18" s="135" t="s">
        <v>45</v>
      </c>
      <c r="G18" s="136" t="s">
        <v>45</v>
      </c>
      <c r="I18" s="135" t="s">
        <v>45</v>
      </c>
      <c r="K18" s="143" t="s">
        <v>45</v>
      </c>
      <c r="M18" s="135">
        <v>1</v>
      </c>
      <c r="N18" s="238">
        <f t="shared" si="3"/>
        <v>2023</v>
      </c>
      <c r="O18" s="219">
        <f t="shared" si="4"/>
        <v>2024</v>
      </c>
      <c r="Q18" s="176">
        <v>1</v>
      </c>
      <c r="R18" s="177"/>
      <c r="S18" s="178">
        <f t="shared" si="5"/>
        <v>1</v>
      </c>
      <c r="T18" s="178"/>
      <c r="U18" s="179">
        <f t="shared" si="1"/>
        <v>1</v>
      </c>
      <c r="V18" s="138"/>
      <c r="W18" s="185">
        <f t="shared" si="2"/>
        <v>1</v>
      </c>
      <c r="X18" s="185"/>
      <c r="Y18" s="185">
        <f t="shared" si="7"/>
        <v>0</v>
      </c>
      <c r="Z18" s="185"/>
      <c r="AA18" s="185">
        <f t="shared" si="7"/>
        <v>0</v>
      </c>
      <c r="AB18" s="185"/>
      <c r="AC18" s="185">
        <f t="shared" si="7"/>
        <v>0</v>
      </c>
      <c r="AD18" s="185"/>
      <c r="AE18" s="185">
        <f t="shared" si="7"/>
        <v>0</v>
      </c>
      <c r="AF18" s="185"/>
      <c r="AG18" s="185">
        <f t="shared" si="7"/>
        <v>0</v>
      </c>
      <c r="AH18" s="185"/>
      <c r="AI18" s="185">
        <f t="shared" si="7"/>
        <v>0</v>
      </c>
      <c r="AJ18" s="185"/>
      <c r="AK18" s="185">
        <f t="shared" si="7"/>
        <v>0</v>
      </c>
      <c r="AL18" s="185"/>
      <c r="AM18" s="185">
        <f t="shared" si="7"/>
        <v>0</v>
      </c>
      <c r="AN18" s="185"/>
      <c r="AO18" s="185">
        <f t="shared" si="7"/>
        <v>0</v>
      </c>
      <c r="AP18" s="185"/>
      <c r="AQ18" s="185">
        <f t="shared" si="7"/>
        <v>0</v>
      </c>
      <c r="AR18" s="185"/>
      <c r="AS18" s="185">
        <f t="shared" si="7"/>
        <v>0</v>
      </c>
      <c r="AT18" s="185"/>
      <c r="AU18" s="185">
        <f t="shared" si="7"/>
        <v>0</v>
      </c>
      <c r="AV18" s="185"/>
      <c r="AW18" s="185">
        <f t="shared" si="7"/>
        <v>0</v>
      </c>
      <c r="AX18" s="185"/>
      <c r="AY18" s="185">
        <f t="shared" si="7"/>
        <v>0</v>
      </c>
      <c r="BJ18" s="221"/>
      <c r="BK18" s="221"/>
      <c r="BL18" s="221"/>
      <c r="BM18" s="221"/>
      <c r="BN18" s="221"/>
      <c r="BO18" s="221"/>
      <c r="BP18" s="221"/>
      <c r="BQ18" s="202"/>
      <c r="BR18" s="202"/>
      <c r="BS18" s="202"/>
      <c r="BT18" s="202"/>
      <c r="BU18" s="202"/>
      <c r="BV18" s="202"/>
      <c r="BW18" s="202"/>
      <c r="BX18" s="202"/>
      <c r="BY18" s="202"/>
      <c r="BZ18" s="202"/>
      <c r="CA18" s="202"/>
      <c r="CB18" s="167"/>
      <c r="CC18" s="167"/>
      <c r="CD18" s="167"/>
      <c r="CE18" s="167"/>
    </row>
    <row r="19" spans="1:83" x14ac:dyDescent="0.35">
      <c r="A19" s="180">
        <f t="shared" si="6"/>
        <v>68</v>
      </c>
      <c r="C19" s="178">
        <v>1</v>
      </c>
      <c r="E19" s="135" t="s">
        <v>45</v>
      </c>
      <c r="G19" s="136" t="s">
        <v>45</v>
      </c>
      <c r="I19" s="135" t="s">
        <v>45</v>
      </c>
      <c r="K19" s="143" t="s">
        <v>45</v>
      </c>
      <c r="M19" s="135">
        <v>1</v>
      </c>
      <c r="N19" s="238">
        <f t="shared" si="3"/>
        <v>2023</v>
      </c>
      <c r="O19" s="219">
        <f t="shared" si="4"/>
        <v>2024</v>
      </c>
      <c r="Q19" s="176">
        <v>1</v>
      </c>
      <c r="R19" s="177"/>
      <c r="S19" s="178">
        <f t="shared" si="5"/>
        <v>1</v>
      </c>
      <c r="T19" s="178"/>
      <c r="U19" s="179">
        <f t="shared" si="1"/>
        <v>1</v>
      </c>
      <c r="V19" s="138"/>
      <c r="W19" s="185">
        <f t="shared" si="2"/>
        <v>1</v>
      </c>
      <c r="X19" s="185"/>
      <c r="Y19" s="185">
        <f t="shared" si="7"/>
        <v>0</v>
      </c>
      <c r="Z19" s="185"/>
      <c r="AA19" s="185">
        <f t="shared" si="7"/>
        <v>0</v>
      </c>
      <c r="AB19" s="185"/>
      <c r="AC19" s="185">
        <f t="shared" si="7"/>
        <v>0</v>
      </c>
      <c r="AD19" s="185"/>
      <c r="AE19" s="185">
        <f t="shared" si="7"/>
        <v>0</v>
      </c>
      <c r="AF19" s="185"/>
      <c r="AG19" s="185">
        <f t="shared" si="7"/>
        <v>0</v>
      </c>
      <c r="AH19" s="185"/>
      <c r="AI19" s="185">
        <f t="shared" si="7"/>
        <v>0</v>
      </c>
      <c r="AJ19" s="185"/>
      <c r="AK19" s="185">
        <f t="shared" si="7"/>
        <v>0</v>
      </c>
      <c r="AL19" s="185"/>
      <c r="AM19" s="185">
        <f t="shared" si="7"/>
        <v>0</v>
      </c>
      <c r="AN19" s="185"/>
      <c r="AO19" s="185">
        <f t="shared" si="7"/>
        <v>0</v>
      </c>
      <c r="AP19" s="185"/>
      <c r="AQ19" s="185">
        <f t="shared" si="7"/>
        <v>0</v>
      </c>
      <c r="AR19" s="185"/>
      <c r="AS19" s="185">
        <f t="shared" si="7"/>
        <v>0</v>
      </c>
      <c r="AT19" s="185"/>
      <c r="AU19" s="185">
        <f t="shared" si="7"/>
        <v>0</v>
      </c>
      <c r="AV19" s="185"/>
      <c r="AW19" s="185">
        <f t="shared" si="7"/>
        <v>0</v>
      </c>
      <c r="AX19" s="185"/>
      <c r="AY19" s="185">
        <f t="shared" si="7"/>
        <v>0</v>
      </c>
      <c r="BJ19" s="221"/>
      <c r="BK19" s="221"/>
      <c r="BL19" s="221"/>
      <c r="BM19" s="221"/>
      <c r="BN19" s="221"/>
      <c r="BO19" s="221"/>
      <c r="BP19" s="221"/>
      <c r="BQ19" s="202"/>
      <c r="BR19" s="202"/>
      <c r="BS19" s="202"/>
      <c r="BT19" s="202"/>
      <c r="BU19" s="202"/>
      <c r="BV19" s="202"/>
      <c r="BW19" s="202"/>
      <c r="BX19" s="202"/>
      <c r="BY19" s="202"/>
      <c r="BZ19" s="202"/>
      <c r="CA19" s="202"/>
      <c r="CB19" s="167"/>
      <c r="CC19" s="167"/>
      <c r="CD19" s="167"/>
      <c r="CE19" s="167"/>
    </row>
    <row r="20" spans="1:83" s="151" customFormat="1" x14ac:dyDescent="0.35">
      <c r="A20" s="168">
        <f t="shared" si="6"/>
        <v>69</v>
      </c>
      <c r="B20" s="169"/>
      <c r="C20" s="174">
        <v>1</v>
      </c>
      <c r="D20" s="171"/>
      <c r="E20" s="168" t="s">
        <v>45</v>
      </c>
      <c r="F20" s="169"/>
      <c r="G20" s="169" t="s">
        <v>45</v>
      </c>
      <c r="H20" s="169"/>
      <c r="I20" s="168" t="s">
        <v>45</v>
      </c>
      <c r="J20" s="169"/>
      <c r="K20" s="225" t="s">
        <v>45</v>
      </c>
      <c r="L20" s="169"/>
      <c r="M20" s="168">
        <v>1</v>
      </c>
      <c r="N20" s="237">
        <f t="shared" si="3"/>
        <v>2023</v>
      </c>
      <c r="O20" s="219">
        <f t="shared" si="4"/>
        <v>2024</v>
      </c>
      <c r="P20" s="169"/>
      <c r="Q20" s="172">
        <v>1</v>
      </c>
      <c r="R20" s="173"/>
      <c r="S20" s="174">
        <f t="shared" si="5"/>
        <v>1</v>
      </c>
      <c r="T20" s="174"/>
      <c r="U20" s="175">
        <f t="shared" si="1"/>
        <v>1</v>
      </c>
      <c r="V20" s="171"/>
      <c r="W20" s="174">
        <f t="shared" si="2"/>
        <v>1</v>
      </c>
      <c r="X20" s="174"/>
      <c r="Y20" s="174">
        <f t="shared" si="7"/>
        <v>0</v>
      </c>
      <c r="Z20" s="174"/>
      <c r="AA20" s="174">
        <f t="shared" si="7"/>
        <v>0</v>
      </c>
      <c r="AB20" s="174"/>
      <c r="AC20" s="174">
        <f t="shared" si="7"/>
        <v>0</v>
      </c>
      <c r="AD20" s="174"/>
      <c r="AE20" s="174">
        <f t="shared" si="7"/>
        <v>0</v>
      </c>
      <c r="AF20" s="174"/>
      <c r="AG20" s="174">
        <f t="shared" si="7"/>
        <v>0</v>
      </c>
      <c r="AH20" s="174"/>
      <c r="AI20" s="174">
        <f t="shared" si="7"/>
        <v>0</v>
      </c>
      <c r="AJ20" s="174"/>
      <c r="AK20" s="174">
        <f t="shared" si="7"/>
        <v>0</v>
      </c>
      <c r="AL20" s="174"/>
      <c r="AM20" s="174">
        <f t="shared" si="7"/>
        <v>0</v>
      </c>
      <c r="AN20" s="174"/>
      <c r="AO20" s="174">
        <f t="shared" si="7"/>
        <v>0</v>
      </c>
      <c r="AP20" s="174"/>
      <c r="AQ20" s="174">
        <f t="shared" si="7"/>
        <v>0</v>
      </c>
      <c r="AR20" s="174"/>
      <c r="AS20" s="174">
        <f t="shared" si="7"/>
        <v>0</v>
      </c>
      <c r="AT20" s="174"/>
      <c r="AU20" s="174">
        <f t="shared" si="7"/>
        <v>0</v>
      </c>
      <c r="AV20" s="174"/>
      <c r="AW20" s="174">
        <f t="shared" si="7"/>
        <v>0</v>
      </c>
      <c r="AX20" s="174"/>
      <c r="AY20" s="174">
        <f t="shared" si="7"/>
        <v>0</v>
      </c>
      <c r="AZ20" s="136"/>
      <c r="BA20" s="136"/>
      <c r="BJ20" s="221"/>
      <c r="BK20" s="221"/>
      <c r="BL20" s="221"/>
      <c r="BM20" s="221"/>
      <c r="BN20" s="221"/>
      <c r="BO20" s="221"/>
      <c r="BP20" s="221"/>
      <c r="BQ20" s="202"/>
      <c r="BR20" s="202"/>
      <c r="BS20" s="202"/>
      <c r="BT20" s="202"/>
      <c r="BU20" s="202"/>
      <c r="BV20" s="202"/>
      <c r="BW20" s="202"/>
      <c r="BX20" s="202"/>
      <c r="BY20" s="202"/>
      <c r="BZ20" s="202"/>
      <c r="CA20" s="202"/>
      <c r="CB20" s="202"/>
      <c r="CC20" s="202"/>
      <c r="CD20" s="202"/>
      <c r="CE20" s="202"/>
    </row>
    <row r="21" spans="1:83" s="151" customFormat="1" x14ac:dyDescent="0.35">
      <c r="A21" s="168">
        <f t="shared" si="6"/>
        <v>70</v>
      </c>
      <c r="B21" s="169"/>
      <c r="C21" s="174">
        <v>1</v>
      </c>
      <c r="D21" s="171"/>
      <c r="E21" s="168" t="s">
        <v>45</v>
      </c>
      <c r="F21" s="169"/>
      <c r="G21" s="169" t="s">
        <v>45</v>
      </c>
      <c r="H21" s="169"/>
      <c r="I21" s="168" t="s">
        <v>45</v>
      </c>
      <c r="J21" s="169"/>
      <c r="K21" s="225" t="s">
        <v>45</v>
      </c>
      <c r="L21" s="169"/>
      <c r="M21" s="168">
        <v>1</v>
      </c>
      <c r="N21" s="237">
        <f t="shared" si="3"/>
        <v>2023</v>
      </c>
      <c r="O21" s="219">
        <f>+$W$10-1+M21</f>
        <v>2024</v>
      </c>
      <c r="P21" s="169"/>
      <c r="Q21" s="172">
        <v>1</v>
      </c>
      <c r="R21" s="173"/>
      <c r="S21" s="174">
        <f>C21*Q21</f>
        <v>1</v>
      </c>
      <c r="T21" s="174"/>
      <c r="U21" s="175">
        <f t="shared" si="1"/>
        <v>1</v>
      </c>
      <c r="V21" s="171"/>
      <c r="W21" s="174">
        <f t="shared" si="2"/>
        <v>1</v>
      </c>
      <c r="X21" s="174"/>
      <c r="Y21" s="174">
        <f t="shared" si="7"/>
        <v>0</v>
      </c>
      <c r="Z21" s="174"/>
      <c r="AA21" s="174">
        <f t="shared" si="7"/>
        <v>0</v>
      </c>
      <c r="AB21" s="174"/>
      <c r="AC21" s="174">
        <f t="shared" si="7"/>
        <v>0</v>
      </c>
      <c r="AD21" s="174"/>
      <c r="AE21" s="174">
        <f t="shared" si="7"/>
        <v>0</v>
      </c>
      <c r="AF21" s="174"/>
      <c r="AG21" s="174">
        <f t="shared" si="7"/>
        <v>0</v>
      </c>
      <c r="AH21" s="174"/>
      <c r="AI21" s="174">
        <f t="shared" si="7"/>
        <v>0</v>
      </c>
      <c r="AJ21" s="174"/>
      <c r="AK21" s="174">
        <f t="shared" si="7"/>
        <v>0</v>
      </c>
      <c r="AL21" s="174"/>
      <c r="AM21" s="174">
        <f t="shared" si="7"/>
        <v>0</v>
      </c>
      <c r="AN21" s="174"/>
      <c r="AO21" s="174">
        <f t="shared" si="7"/>
        <v>0</v>
      </c>
      <c r="AP21" s="174"/>
      <c r="AQ21" s="174">
        <f t="shared" si="7"/>
        <v>0</v>
      </c>
      <c r="AR21" s="174"/>
      <c r="AS21" s="174">
        <f t="shared" si="7"/>
        <v>0</v>
      </c>
      <c r="AT21" s="174"/>
      <c r="AU21" s="174">
        <f t="shared" si="7"/>
        <v>0</v>
      </c>
      <c r="AV21" s="174"/>
      <c r="AW21" s="174">
        <f t="shared" si="7"/>
        <v>0</v>
      </c>
      <c r="AX21" s="174"/>
      <c r="AY21" s="174">
        <f t="shared" si="7"/>
        <v>0</v>
      </c>
      <c r="AZ21" s="136"/>
      <c r="BA21" s="136"/>
      <c r="BJ21" s="221"/>
      <c r="BK21" s="221"/>
      <c r="BL21" s="221"/>
      <c r="BM21" s="221"/>
      <c r="BN21" s="221"/>
      <c r="BO21" s="221"/>
      <c r="BP21" s="221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</row>
    <row r="22" spans="1:83" s="151" customFormat="1" x14ac:dyDescent="0.35">
      <c r="A22" s="168">
        <f t="shared" si="6"/>
        <v>71</v>
      </c>
      <c r="B22" s="169"/>
      <c r="C22" s="174">
        <v>1</v>
      </c>
      <c r="D22" s="171"/>
      <c r="E22" s="168" t="s">
        <v>45</v>
      </c>
      <c r="F22" s="169"/>
      <c r="G22" s="169" t="s">
        <v>45</v>
      </c>
      <c r="H22" s="169"/>
      <c r="I22" s="168" t="s">
        <v>45</v>
      </c>
      <c r="J22" s="169"/>
      <c r="K22" s="225" t="s">
        <v>45</v>
      </c>
      <c r="L22" s="169"/>
      <c r="M22" s="168">
        <v>1</v>
      </c>
      <c r="N22" s="237">
        <f t="shared" si="3"/>
        <v>2023</v>
      </c>
      <c r="O22" s="219">
        <f>+$W$10-1+M22</f>
        <v>2024</v>
      </c>
      <c r="P22" s="169"/>
      <c r="Q22" s="172">
        <v>1</v>
      </c>
      <c r="R22" s="173"/>
      <c r="S22" s="174">
        <f>C22*Q22</f>
        <v>1</v>
      </c>
      <c r="T22" s="174"/>
      <c r="U22" s="175">
        <f t="shared" si="1"/>
        <v>1</v>
      </c>
      <c r="V22" s="171"/>
      <c r="W22" s="174">
        <f t="shared" si="2"/>
        <v>1</v>
      </c>
      <c r="X22" s="174"/>
      <c r="Y22" s="174">
        <f t="shared" si="7"/>
        <v>0</v>
      </c>
      <c r="Z22" s="174"/>
      <c r="AA22" s="174">
        <f t="shared" si="7"/>
        <v>0</v>
      </c>
      <c r="AB22" s="174"/>
      <c r="AC22" s="174">
        <f t="shared" si="7"/>
        <v>0</v>
      </c>
      <c r="AD22" s="174"/>
      <c r="AE22" s="174">
        <f t="shared" si="7"/>
        <v>0</v>
      </c>
      <c r="AF22" s="174"/>
      <c r="AG22" s="174">
        <f t="shared" si="7"/>
        <v>0</v>
      </c>
      <c r="AH22" s="174"/>
      <c r="AI22" s="174">
        <f t="shared" si="7"/>
        <v>0</v>
      </c>
      <c r="AJ22" s="174"/>
      <c r="AK22" s="174">
        <f t="shared" si="7"/>
        <v>0</v>
      </c>
      <c r="AL22" s="174"/>
      <c r="AM22" s="174">
        <f t="shared" si="7"/>
        <v>0</v>
      </c>
      <c r="AN22" s="174"/>
      <c r="AO22" s="174">
        <f t="shared" si="7"/>
        <v>0</v>
      </c>
      <c r="AP22" s="174"/>
      <c r="AQ22" s="174">
        <f t="shared" si="7"/>
        <v>0</v>
      </c>
      <c r="AR22" s="174"/>
      <c r="AS22" s="174">
        <f t="shared" si="7"/>
        <v>0</v>
      </c>
      <c r="AT22" s="174"/>
      <c r="AU22" s="174">
        <f t="shared" si="7"/>
        <v>0</v>
      </c>
      <c r="AV22" s="174"/>
      <c r="AW22" s="174">
        <f t="shared" si="7"/>
        <v>0</v>
      </c>
      <c r="AX22" s="174"/>
      <c r="AY22" s="174">
        <f t="shared" si="7"/>
        <v>0</v>
      </c>
      <c r="AZ22" s="136"/>
      <c r="BA22" s="136"/>
      <c r="BJ22" s="221"/>
      <c r="BK22" s="221"/>
      <c r="BL22" s="221"/>
      <c r="BM22" s="221"/>
      <c r="BN22" s="221"/>
      <c r="BO22" s="221"/>
      <c r="BP22" s="221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</row>
    <row r="23" spans="1:83" s="151" customFormat="1" x14ac:dyDescent="0.35">
      <c r="A23" s="135"/>
      <c r="B23" s="136"/>
      <c r="C23" s="178"/>
      <c r="D23" s="138"/>
      <c r="E23" s="135"/>
      <c r="F23" s="136"/>
      <c r="G23" s="136"/>
      <c r="H23" s="136"/>
      <c r="I23" s="135"/>
      <c r="J23" s="136"/>
      <c r="K23" s="143"/>
      <c r="L23" s="136"/>
      <c r="M23" s="135"/>
      <c r="N23" s="136"/>
      <c r="O23" s="135"/>
      <c r="P23" s="136"/>
      <c r="Q23" s="176"/>
      <c r="R23" s="177"/>
      <c r="S23" s="178"/>
      <c r="T23" s="178"/>
      <c r="U23" s="179"/>
      <c r="V23" s="13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36"/>
      <c r="BA23" s="136"/>
      <c r="BJ23" s="221"/>
      <c r="BK23" s="221"/>
      <c r="BL23" s="221"/>
      <c r="BM23" s="221"/>
      <c r="BN23" s="221"/>
      <c r="BO23" s="221"/>
      <c r="BP23" s="221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</row>
    <row r="24" spans="1:83" x14ac:dyDescent="0.35">
      <c r="G24" s="144" t="s">
        <v>48</v>
      </c>
      <c r="K24" s="143"/>
      <c r="O24" s="135"/>
      <c r="Q24" s="226"/>
      <c r="R24" s="177"/>
      <c r="S24" s="178"/>
      <c r="T24" s="178"/>
      <c r="U24" s="179"/>
      <c r="V24" s="13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BJ24" s="178"/>
      <c r="BK24" s="178"/>
      <c r="BL24" s="178"/>
      <c r="BM24" s="178"/>
      <c r="BN24" s="178"/>
      <c r="BO24" s="178"/>
      <c r="BP24" s="178"/>
      <c r="BQ24" s="178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  <c r="CB24" s="167"/>
      <c r="CC24" s="167"/>
      <c r="CD24" s="167"/>
      <c r="CE24" s="167"/>
    </row>
    <row r="25" spans="1:83" x14ac:dyDescent="0.35">
      <c r="A25" s="168">
        <f>A22+1</f>
        <v>72</v>
      </c>
      <c r="B25" s="169"/>
      <c r="C25" s="174">
        <v>1</v>
      </c>
      <c r="D25" s="171"/>
      <c r="E25" s="168" t="s">
        <v>45</v>
      </c>
      <c r="F25" s="169"/>
      <c r="G25" s="169" t="s">
        <v>45</v>
      </c>
      <c r="H25" s="169"/>
      <c r="I25" s="168" t="s">
        <v>45</v>
      </c>
      <c r="J25" s="169"/>
      <c r="K25" s="225" t="s">
        <v>45</v>
      </c>
      <c r="L25" s="169"/>
      <c r="M25" s="168">
        <v>1</v>
      </c>
      <c r="N25" s="237">
        <f>'Roofs 1'!P4</f>
        <v>2023</v>
      </c>
      <c r="O25" s="219">
        <f t="shared" si="4"/>
        <v>2024</v>
      </c>
      <c r="P25" s="169"/>
      <c r="Q25" s="227">
        <v>1</v>
      </c>
      <c r="R25" s="173"/>
      <c r="S25" s="174">
        <f t="shared" si="5"/>
        <v>1</v>
      </c>
      <c r="T25" s="174"/>
      <c r="U25" s="175">
        <f t="shared" ref="U25:U30" si="8">SUM(W25:AY25)+SUM(I51:AK51)</f>
        <v>47.575415706322005</v>
      </c>
      <c r="V25" s="171"/>
      <c r="W25" s="174">
        <f t="shared" ref="W25:W30" si="9">S25</f>
        <v>1</v>
      </c>
      <c r="X25" s="174"/>
      <c r="Y25" s="174">
        <f t="shared" ref="Y25:Y30" si="10">FV($U$6,W$9,,-$S25,0)</f>
        <v>1.03</v>
      </c>
      <c r="Z25" s="174"/>
      <c r="AA25" s="174">
        <f t="shared" ref="AA25:AA30" si="11">FV($U$6,Y$9,,-$S25,0)</f>
        <v>1.0609</v>
      </c>
      <c r="AB25" s="174"/>
      <c r="AC25" s="174">
        <f t="shared" ref="AC25:AC30" si="12">FV($U$6,AA$9,,-$S25,0)</f>
        <v>1.092727</v>
      </c>
      <c r="AD25" s="174"/>
      <c r="AE25" s="174">
        <f t="shared" ref="AE25:AE30" si="13">FV($U$6,AC$9,,-$S25,0)</f>
        <v>1.1255088099999999</v>
      </c>
      <c r="AF25" s="174"/>
      <c r="AG25" s="174">
        <f t="shared" ref="AG25:AG30" si="14">FV($U$6,AE$9,,-$S25,0)</f>
        <v>1.1592740742999998</v>
      </c>
      <c r="AH25" s="174"/>
      <c r="AI25" s="174">
        <f t="shared" ref="AI25:AI30" si="15">FV($U$6,AG$9,,-$S25,0)</f>
        <v>1.1940522965289999</v>
      </c>
      <c r="AJ25" s="174"/>
      <c r="AK25" s="174">
        <f t="shared" ref="AK25:AK30" si="16">FV($U$6,AI$9,,-$S25,0)</f>
        <v>1.22987386542487</v>
      </c>
      <c r="AL25" s="174"/>
      <c r="AM25" s="174">
        <f t="shared" ref="AM25:AM30" si="17">FV($U$6,AK$9,,-$S25,0)</f>
        <v>1.2667700813876159</v>
      </c>
      <c r="AN25" s="174"/>
      <c r="AO25" s="174">
        <f t="shared" ref="AO25:AO30" si="18">FV($U$6,AM$9,,-$S25,0)</f>
        <v>1.3047731838292445</v>
      </c>
      <c r="AP25" s="174"/>
      <c r="AQ25" s="174">
        <f t="shared" ref="AQ25:AQ30" si="19">FV($U$6,AO$9,,-$S25,0)</f>
        <v>1.3439163793441218</v>
      </c>
      <c r="AR25" s="174"/>
      <c r="AS25" s="174">
        <f t="shared" ref="AS25:AS30" si="20">FV($U$6,AQ$9,,-$S25,0)</f>
        <v>1.3842338707244455</v>
      </c>
      <c r="AT25" s="174"/>
      <c r="AU25" s="174">
        <f t="shared" ref="AU25:AU30" si="21">FV($U$6,AS$9,,-$S25,0)</f>
        <v>1.4257608868461786</v>
      </c>
      <c r="AV25" s="174"/>
      <c r="AW25" s="174">
        <f t="shared" ref="AW25:AW30" si="22">FV($U$6,AU$9,,-$S25,0)</f>
        <v>1.4685337134515639</v>
      </c>
      <c r="AX25" s="174"/>
      <c r="AY25" s="174">
        <f t="shared" ref="AY25:AY30" si="23">FV($U$6,AW$9,,-$S25,0)</f>
        <v>1.512589724855111</v>
      </c>
      <c r="AZ25" s="185"/>
      <c r="BA25" s="181"/>
      <c r="BJ25" s="178"/>
      <c r="BK25" s="178"/>
      <c r="BL25" s="178"/>
      <c r="BM25" s="178"/>
      <c r="BN25" s="178"/>
      <c r="BO25" s="178"/>
      <c r="BP25" s="178"/>
      <c r="BQ25" s="178"/>
      <c r="BR25" s="167"/>
      <c r="BS25" s="167"/>
      <c r="BT25" s="167"/>
      <c r="BU25" s="167"/>
      <c r="BV25" s="167"/>
      <c r="BW25" s="167"/>
      <c r="BX25" s="167"/>
      <c r="BY25" s="167"/>
      <c r="BZ25" s="167"/>
      <c r="CA25" s="167"/>
      <c r="CB25" s="167"/>
      <c r="CC25" s="167"/>
      <c r="CD25" s="167"/>
      <c r="CE25" s="167"/>
    </row>
    <row r="26" spans="1:83" x14ac:dyDescent="0.35">
      <c r="A26" s="168">
        <f>A25+1</f>
        <v>73</v>
      </c>
      <c r="B26" s="169"/>
      <c r="C26" s="174">
        <v>1</v>
      </c>
      <c r="D26" s="171"/>
      <c r="E26" s="168" t="s">
        <v>45</v>
      </c>
      <c r="F26" s="169"/>
      <c r="G26" s="169" t="s">
        <v>45</v>
      </c>
      <c r="H26" s="169"/>
      <c r="I26" s="168" t="s">
        <v>45</v>
      </c>
      <c r="J26" s="169"/>
      <c r="K26" s="225" t="s">
        <v>45</v>
      </c>
      <c r="L26" s="169"/>
      <c r="M26" s="168">
        <v>1</v>
      </c>
      <c r="N26" s="237">
        <f>N25</f>
        <v>2023</v>
      </c>
      <c r="O26" s="219">
        <f t="shared" si="4"/>
        <v>2024</v>
      </c>
      <c r="P26" s="169"/>
      <c r="Q26" s="227">
        <v>1</v>
      </c>
      <c r="R26" s="173"/>
      <c r="S26" s="174">
        <f t="shared" si="5"/>
        <v>1</v>
      </c>
      <c r="T26" s="174"/>
      <c r="U26" s="175">
        <f t="shared" si="8"/>
        <v>47.575415706322005</v>
      </c>
      <c r="V26" s="171"/>
      <c r="W26" s="174">
        <f t="shared" si="9"/>
        <v>1</v>
      </c>
      <c r="X26" s="174"/>
      <c r="Y26" s="174">
        <f t="shared" si="10"/>
        <v>1.03</v>
      </c>
      <c r="Z26" s="174"/>
      <c r="AA26" s="174">
        <f t="shared" si="11"/>
        <v>1.0609</v>
      </c>
      <c r="AB26" s="174"/>
      <c r="AC26" s="174">
        <f t="shared" si="12"/>
        <v>1.092727</v>
      </c>
      <c r="AD26" s="174"/>
      <c r="AE26" s="174">
        <f t="shared" si="13"/>
        <v>1.1255088099999999</v>
      </c>
      <c r="AF26" s="174"/>
      <c r="AG26" s="174">
        <f t="shared" si="14"/>
        <v>1.1592740742999998</v>
      </c>
      <c r="AH26" s="174"/>
      <c r="AI26" s="174">
        <f t="shared" si="15"/>
        <v>1.1940522965289999</v>
      </c>
      <c r="AJ26" s="174"/>
      <c r="AK26" s="174">
        <f t="shared" si="16"/>
        <v>1.22987386542487</v>
      </c>
      <c r="AL26" s="174"/>
      <c r="AM26" s="174">
        <f t="shared" si="17"/>
        <v>1.2667700813876159</v>
      </c>
      <c r="AN26" s="174"/>
      <c r="AO26" s="174">
        <f t="shared" si="18"/>
        <v>1.3047731838292445</v>
      </c>
      <c r="AP26" s="174"/>
      <c r="AQ26" s="174">
        <f t="shared" si="19"/>
        <v>1.3439163793441218</v>
      </c>
      <c r="AR26" s="174"/>
      <c r="AS26" s="174">
        <f t="shared" si="20"/>
        <v>1.3842338707244455</v>
      </c>
      <c r="AT26" s="174"/>
      <c r="AU26" s="174">
        <f t="shared" si="21"/>
        <v>1.4257608868461786</v>
      </c>
      <c r="AV26" s="174"/>
      <c r="AW26" s="174">
        <f t="shared" si="22"/>
        <v>1.4685337134515639</v>
      </c>
      <c r="AX26" s="174"/>
      <c r="AY26" s="174">
        <f t="shared" si="23"/>
        <v>1.512589724855111</v>
      </c>
      <c r="AZ26" s="185"/>
      <c r="BA26" s="181"/>
      <c r="BJ26" s="178"/>
      <c r="BK26" s="178"/>
      <c r="BL26" s="178"/>
      <c r="BM26" s="178"/>
      <c r="BN26" s="178"/>
      <c r="BO26" s="178"/>
      <c r="BP26" s="178"/>
      <c r="BQ26" s="178"/>
      <c r="BR26" s="167"/>
      <c r="BS26" s="167"/>
      <c r="BT26" s="167"/>
      <c r="BU26" s="167"/>
      <c r="BV26" s="167"/>
      <c r="BW26" s="167"/>
      <c r="BX26" s="167"/>
      <c r="BY26" s="167"/>
      <c r="BZ26" s="167"/>
      <c r="CA26" s="167"/>
      <c r="CB26" s="167"/>
      <c r="CC26" s="167"/>
      <c r="CD26" s="167"/>
      <c r="CE26" s="167"/>
    </row>
    <row r="27" spans="1:83" x14ac:dyDescent="0.35">
      <c r="A27" s="168">
        <f>A26+1</f>
        <v>74</v>
      </c>
      <c r="B27" s="169"/>
      <c r="C27" s="174">
        <v>1</v>
      </c>
      <c r="D27" s="171"/>
      <c r="E27" s="168" t="s">
        <v>45</v>
      </c>
      <c r="F27" s="169"/>
      <c r="G27" s="169" t="s">
        <v>45</v>
      </c>
      <c r="H27" s="169"/>
      <c r="I27" s="168" t="s">
        <v>45</v>
      </c>
      <c r="J27" s="169"/>
      <c r="K27" s="225" t="s">
        <v>45</v>
      </c>
      <c r="L27" s="169"/>
      <c r="M27" s="168">
        <v>1</v>
      </c>
      <c r="N27" s="237">
        <f>N26</f>
        <v>2023</v>
      </c>
      <c r="O27" s="219">
        <f t="shared" si="4"/>
        <v>2024</v>
      </c>
      <c r="P27" s="169"/>
      <c r="Q27" s="227">
        <v>1</v>
      </c>
      <c r="R27" s="173"/>
      <c r="S27" s="174">
        <f t="shared" si="5"/>
        <v>1</v>
      </c>
      <c r="T27" s="174"/>
      <c r="U27" s="175">
        <f t="shared" si="8"/>
        <v>47.575415706322005</v>
      </c>
      <c r="V27" s="171"/>
      <c r="W27" s="174">
        <f t="shared" si="9"/>
        <v>1</v>
      </c>
      <c r="X27" s="174"/>
      <c r="Y27" s="174">
        <f t="shared" si="10"/>
        <v>1.03</v>
      </c>
      <c r="Z27" s="174"/>
      <c r="AA27" s="174">
        <f t="shared" si="11"/>
        <v>1.0609</v>
      </c>
      <c r="AB27" s="174"/>
      <c r="AC27" s="174">
        <f t="shared" si="12"/>
        <v>1.092727</v>
      </c>
      <c r="AD27" s="174"/>
      <c r="AE27" s="174">
        <f t="shared" si="13"/>
        <v>1.1255088099999999</v>
      </c>
      <c r="AF27" s="174"/>
      <c r="AG27" s="174">
        <f t="shared" si="14"/>
        <v>1.1592740742999998</v>
      </c>
      <c r="AH27" s="174"/>
      <c r="AI27" s="174">
        <f t="shared" si="15"/>
        <v>1.1940522965289999</v>
      </c>
      <c r="AJ27" s="174"/>
      <c r="AK27" s="174">
        <f t="shared" si="16"/>
        <v>1.22987386542487</v>
      </c>
      <c r="AL27" s="174"/>
      <c r="AM27" s="174">
        <f t="shared" si="17"/>
        <v>1.2667700813876159</v>
      </c>
      <c r="AN27" s="174"/>
      <c r="AO27" s="174">
        <f t="shared" si="18"/>
        <v>1.3047731838292445</v>
      </c>
      <c r="AP27" s="174"/>
      <c r="AQ27" s="174">
        <f t="shared" si="19"/>
        <v>1.3439163793441218</v>
      </c>
      <c r="AR27" s="174"/>
      <c r="AS27" s="174">
        <f t="shared" si="20"/>
        <v>1.3842338707244455</v>
      </c>
      <c r="AT27" s="174"/>
      <c r="AU27" s="174">
        <f t="shared" si="21"/>
        <v>1.4257608868461786</v>
      </c>
      <c r="AV27" s="174"/>
      <c r="AW27" s="174">
        <f t="shared" si="22"/>
        <v>1.4685337134515639</v>
      </c>
      <c r="AX27" s="174"/>
      <c r="AY27" s="174">
        <f t="shared" si="23"/>
        <v>1.512589724855111</v>
      </c>
      <c r="AZ27" s="185"/>
      <c r="BA27" s="181"/>
      <c r="BJ27" s="178"/>
      <c r="BK27" s="178"/>
      <c r="BL27" s="178"/>
      <c r="BM27" s="178"/>
      <c r="BN27" s="178"/>
      <c r="BO27" s="178"/>
      <c r="BP27" s="178"/>
      <c r="BQ27" s="178"/>
      <c r="BR27" s="167"/>
      <c r="BS27" s="167"/>
      <c r="BT27" s="167"/>
      <c r="BU27" s="167"/>
      <c r="BV27" s="167"/>
      <c r="BW27" s="167"/>
      <c r="BX27" s="167"/>
      <c r="BY27" s="167"/>
      <c r="BZ27" s="167"/>
      <c r="CA27" s="167"/>
      <c r="CB27" s="167"/>
      <c r="CC27" s="167"/>
      <c r="CD27" s="167"/>
      <c r="CE27" s="167"/>
    </row>
    <row r="28" spans="1:83" x14ac:dyDescent="0.35">
      <c r="A28" s="180">
        <f>A27+1</f>
        <v>75</v>
      </c>
      <c r="B28" s="181"/>
      <c r="C28" s="185">
        <v>1</v>
      </c>
      <c r="D28" s="183"/>
      <c r="E28" s="180" t="s">
        <v>45</v>
      </c>
      <c r="F28" s="181"/>
      <c r="G28" s="181" t="s">
        <v>45</v>
      </c>
      <c r="H28" s="181"/>
      <c r="I28" s="180" t="s">
        <v>45</v>
      </c>
      <c r="J28" s="181"/>
      <c r="K28" s="228" t="s">
        <v>45</v>
      </c>
      <c r="L28" s="181"/>
      <c r="M28" s="180">
        <v>1</v>
      </c>
      <c r="N28" s="240">
        <f>N27</f>
        <v>2023</v>
      </c>
      <c r="O28" s="219">
        <f>+$W$10-1+M28</f>
        <v>2024</v>
      </c>
      <c r="P28" s="181"/>
      <c r="Q28" s="229">
        <v>1</v>
      </c>
      <c r="R28" s="184"/>
      <c r="S28" s="185">
        <f>C28*Q28</f>
        <v>1</v>
      </c>
      <c r="T28" s="185"/>
      <c r="U28" s="186">
        <f t="shared" si="8"/>
        <v>47.575415706322005</v>
      </c>
      <c r="V28" s="183"/>
      <c r="W28" s="185">
        <f t="shared" si="9"/>
        <v>1</v>
      </c>
      <c r="X28" s="185"/>
      <c r="Y28" s="185">
        <f>FV($U$6,W$9,,-$S28,0)</f>
        <v>1.03</v>
      </c>
      <c r="Z28" s="185"/>
      <c r="AA28" s="185">
        <f t="shared" si="11"/>
        <v>1.0609</v>
      </c>
      <c r="AB28" s="185"/>
      <c r="AC28" s="185">
        <f t="shared" si="12"/>
        <v>1.092727</v>
      </c>
      <c r="AD28" s="185"/>
      <c r="AE28" s="185">
        <f t="shared" si="13"/>
        <v>1.1255088099999999</v>
      </c>
      <c r="AF28" s="185"/>
      <c r="AG28" s="185">
        <f t="shared" si="14"/>
        <v>1.1592740742999998</v>
      </c>
      <c r="AH28" s="185"/>
      <c r="AI28" s="185">
        <f t="shared" si="15"/>
        <v>1.1940522965289999</v>
      </c>
      <c r="AJ28" s="185"/>
      <c r="AK28" s="185">
        <f t="shared" si="16"/>
        <v>1.22987386542487</v>
      </c>
      <c r="AL28" s="185"/>
      <c r="AM28" s="185">
        <f t="shared" si="17"/>
        <v>1.2667700813876159</v>
      </c>
      <c r="AN28" s="185"/>
      <c r="AO28" s="185">
        <f t="shared" si="18"/>
        <v>1.3047731838292445</v>
      </c>
      <c r="AP28" s="185"/>
      <c r="AQ28" s="185">
        <f t="shared" si="19"/>
        <v>1.3439163793441218</v>
      </c>
      <c r="AR28" s="185"/>
      <c r="AS28" s="185">
        <f t="shared" si="20"/>
        <v>1.3842338707244455</v>
      </c>
      <c r="AT28" s="185"/>
      <c r="AU28" s="185">
        <f t="shared" si="21"/>
        <v>1.4257608868461786</v>
      </c>
      <c r="AV28" s="185"/>
      <c r="AW28" s="185">
        <f t="shared" si="22"/>
        <v>1.4685337134515639</v>
      </c>
      <c r="AX28" s="185"/>
      <c r="AY28" s="185">
        <f t="shared" si="23"/>
        <v>1.512589724855111</v>
      </c>
      <c r="AZ28" s="185"/>
      <c r="BJ28" s="178"/>
      <c r="BK28" s="178"/>
      <c r="BL28" s="178"/>
      <c r="BM28" s="178"/>
      <c r="BN28" s="178"/>
      <c r="BO28" s="178"/>
      <c r="BP28" s="178"/>
      <c r="BQ28" s="178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</row>
    <row r="29" spans="1:83" x14ac:dyDescent="0.35">
      <c r="A29" s="180">
        <f>A28+1</f>
        <v>76</v>
      </c>
      <c r="B29" s="181"/>
      <c r="C29" s="185">
        <v>1</v>
      </c>
      <c r="D29" s="183"/>
      <c r="E29" s="180" t="s">
        <v>45</v>
      </c>
      <c r="F29" s="181"/>
      <c r="G29" s="181" t="s">
        <v>45</v>
      </c>
      <c r="H29" s="181"/>
      <c r="I29" s="180" t="s">
        <v>45</v>
      </c>
      <c r="J29" s="181"/>
      <c r="K29" s="228" t="s">
        <v>45</v>
      </c>
      <c r="L29" s="181"/>
      <c r="M29" s="180">
        <v>1</v>
      </c>
      <c r="N29" s="240">
        <f>N28</f>
        <v>2023</v>
      </c>
      <c r="O29" s="219">
        <f>+$W$10-1+M29</f>
        <v>2024</v>
      </c>
      <c r="P29" s="181"/>
      <c r="Q29" s="229">
        <v>1</v>
      </c>
      <c r="R29" s="184"/>
      <c r="S29" s="185">
        <f>C29*Q29</f>
        <v>1</v>
      </c>
      <c r="T29" s="185"/>
      <c r="U29" s="186">
        <f t="shared" si="8"/>
        <v>47.575415706322005</v>
      </c>
      <c r="V29" s="183"/>
      <c r="W29" s="185">
        <f t="shared" si="9"/>
        <v>1</v>
      </c>
      <c r="X29" s="185"/>
      <c r="Y29" s="185">
        <f t="shared" si="10"/>
        <v>1.03</v>
      </c>
      <c r="Z29" s="185"/>
      <c r="AA29" s="185">
        <f t="shared" si="11"/>
        <v>1.0609</v>
      </c>
      <c r="AB29" s="185"/>
      <c r="AC29" s="185">
        <f t="shared" si="12"/>
        <v>1.092727</v>
      </c>
      <c r="AD29" s="185"/>
      <c r="AE29" s="185">
        <f t="shared" si="13"/>
        <v>1.1255088099999999</v>
      </c>
      <c r="AF29" s="185"/>
      <c r="AG29" s="185">
        <f t="shared" si="14"/>
        <v>1.1592740742999998</v>
      </c>
      <c r="AH29" s="185"/>
      <c r="AI29" s="185">
        <f t="shared" si="15"/>
        <v>1.1940522965289999</v>
      </c>
      <c r="AJ29" s="185"/>
      <c r="AK29" s="185">
        <f t="shared" si="16"/>
        <v>1.22987386542487</v>
      </c>
      <c r="AL29" s="185"/>
      <c r="AM29" s="185">
        <f t="shared" si="17"/>
        <v>1.2667700813876159</v>
      </c>
      <c r="AN29" s="185"/>
      <c r="AO29" s="185">
        <f t="shared" si="18"/>
        <v>1.3047731838292445</v>
      </c>
      <c r="AP29" s="185"/>
      <c r="AQ29" s="185">
        <f t="shared" si="19"/>
        <v>1.3439163793441218</v>
      </c>
      <c r="AR29" s="185"/>
      <c r="AS29" s="185">
        <f t="shared" si="20"/>
        <v>1.3842338707244455</v>
      </c>
      <c r="AT29" s="185"/>
      <c r="AU29" s="185">
        <f t="shared" si="21"/>
        <v>1.4257608868461786</v>
      </c>
      <c r="AV29" s="185"/>
      <c r="AW29" s="185">
        <f t="shared" si="22"/>
        <v>1.4685337134515639</v>
      </c>
      <c r="AX29" s="185"/>
      <c r="AY29" s="185">
        <f t="shared" si="23"/>
        <v>1.512589724855111</v>
      </c>
      <c r="AZ29" s="185"/>
      <c r="BJ29" s="178"/>
      <c r="BK29" s="178"/>
      <c r="BL29" s="178"/>
      <c r="BM29" s="178"/>
      <c r="BN29" s="178"/>
      <c r="BO29" s="178"/>
      <c r="BP29" s="178"/>
      <c r="BQ29" s="178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</row>
    <row r="30" spans="1:83" x14ac:dyDescent="0.35">
      <c r="A30" s="180">
        <f>A29+1</f>
        <v>77</v>
      </c>
      <c r="B30" s="181"/>
      <c r="C30" s="185">
        <v>1</v>
      </c>
      <c r="D30" s="183"/>
      <c r="E30" s="180" t="s">
        <v>45</v>
      </c>
      <c r="F30" s="181"/>
      <c r="G30" s="181" t="s">
        <v>45</v>
      </c>
      <c r="H30" s="181"/>
      <c r="I30" s="180" t="s">
        <v>45</v>
      </c>
      <c r="J30" s="181"/>
      <c r="K30" s="228" t="s">
        <v>45</v>
      </c>
      <c r="L30" s="181"/>
      <c r="M30" s="180">
        <v>1</v>
      </c>
      <c r="N30" s="240">
        <f>N29</f>
        <v>2023</v>
      </c>
      <c r="O30" s="219">
        <f>+$W$10-1+M30</f>
        <v>2024</v>
      </c>
      <c r="P30" s="181"/>
      <c r="Q30" s="229">
        <v>1</v>
      </c>
      <c r="R30" s="184"/>
      <c r="S30" s="185">
        <f>C30*Q30</f>
        <v>1</v>
      </c>
      <c r="T30" s="185"/>
      <c r="U30" s="186">
        <f t="shared" si="8"/>
        <v>47.575415706322005</v>
      </c>
      <c r="V30" s="183"/>
      <c r="W30" s="185">
        <f t="shared" si="9"/>
        <v>1</v>
      </c>
      <c r="X30" s="185"/>
      <c r="Y30" s="185">
        <f t="shared" si="10"/>
        <v>1.03</v>
      </c>
      <c r="Z30" s="185"/>
      <c r="AA30" s="185">
        <f t="shared" si="11"/>
        <v>1.0609</v>
      </c>
      <c r="AB30" s="185"/>
      <c r="AC30" s="185">
        <f t="shared" si="12"/>
        <v>1.092727</v>
      </c>
      <c r="AD30" s="185"/>
      <c r="AE30" s="185">
        <f t="shared" si="13"/>
        <v>1.1255088099999999</v>
      </c>
      <c r="AF30" s="185"/>
      <c r="AG30" s="185">
        <f t="shared" si="14"/>
        <v>1.1592740742999998</v>
      </c>
      <c r="AH30" s="185"/>
      <c r="AI30" s="185">
        <f t="shared" si="15"/>
        <v>1.1940522965289999</v>
      </c>
      <c r="AJ30" s="185"/>
      <c r="AK30" s="185">
        <f t="shared" si="16"/>
        <v>1.22987386542487</v>
      </c>
      <c r="AL30" s="185"/>
      <c r="AM30" s="185">
        <f t="shared" si="17"/>
        <v>1.2667700813876159</v>
      </c>
      <c r="AN30" s="185"/>
      <c r="AO30" s="185">
        <f t="shared" si="18"/>
        <v>1.3047731838292445</v>
      </c>
      <c r="AP30" s="185"/>
      <c r="AQ30" s="185">
        <f t="shared" si="19"/>
        <v>1.3439163793441218</v>
      </c>
      <c r="AR30" s="185"/>
      <c r="AS30" s="185">
        <f t="shared" si="20"/>
        <v>1.3842338707244455</v>
      </c>
      <c r="AT30" s="185"/>
      <c r="AU30" s="185">
        <f t="shared" si="21"/>
        <v>1.4257608868461786</v>
      </c>
      <c r="AV30" s="185"/>
      <c r="AW30" s="185">
        <f t="shared" si="22"/>
        <v>1.4685337134515639</v>
      </c>
      <c r="AX30" s="185"/>
      <c r="AY30" s="185">
        <f t="shared" si="23"/>
        <v>1.512589724855111</v>
      </c>
      <c r="AZ30" s="185"/>
      <c r="BJ30" s="178"/>
      <c r="BK30" s="178"/>
      <c r="BL30" s="178"/>
      <c r="BM30" s="178"/>
      <c r="BN30" s="178"/>
      <c r="BO30" s="178"/>
      <c r="BP30" s="178"/>
      <c r="BQ30" s="178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</row>
    <row r="31" spans="1:83" ht="9.4" customHeight="1" x14ac:dyDescent="0.35">
      <c r="C31" s="137"/>
      <c r="O31" s="136"/>
      <c r="Q31" s="189"/>
      <c r="R31" s="177"/>
      <c r="S31" s="190"/>
      <c r="T31" s="178"/>
      <c r="U31" s="190"/>
      <c r="V31" s="138"/>
      <c r="W31" s="190"/>
      <c r="X31" s="178"/>
      <c r="Y31" s="190"/>
      <c r="Z31" s="178"/>
      <c r="AA31" s="190"/>
      <c r="AB31" s="178"/>
      <c r="AC31" s="190"/>
      <c r="AD31" s="178"/>
      <c r="AE31" s="190"/>
      <c r="AF31" s="178"/>
      <c r="AG31" s="190"/>
      <c r="AH31" s="178"/>
      <c r="AI31" s="190"/>
      <c r="AJ31" s="178"/>
      <c r="AK31" s="190"/>
      <c r="AL31" s="178"/>
      <c r="AM31" s="190"/>
      <c r="AN31" s="178"/>
      <c r="AO31" s="190"/>
      <c r="AP31" s="178"/>
      <c r="AQ31" s="190"/>
      <c r="AR31" s="178"/>
      <c r="AS31" s="190"/>
      <c r="AT31" s="178"/>
      <c r="AU31" s="190"/>
      <c r="AV31" s="178"/>
      <c r="AW31" s="190"/>
      <c r="AX31" s="178"/>
      <c r="AY31" s="190"/>
      <c r="AZ31" s="178"/>
      <c r="BJ31" s="178"/>
      <c r="BK31" s="178"/>
      <c r="BL31" s="178"/>
      <c r="BM31" s="178"/>
      <c r="BN31" s="178"/>
      <c r="BO31" s="178"/>
      <c r="BP31" s="178"/>
      <c r="BQ31" s="178"/>
      <c r="BR31" s="167"/>
      <c r="BS31" s="167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</row>
    <row r="32" spans="1:83" ht="24" thickBot="1" x14ac:dyDescent="0.4">
      <c r="C32" s="137"/>
      <c r="G32" s="141" t="s">
        <v>7</v>
      </c>
      <c r="Q32" s="178"/>
      <c r="R32" s="178"/>
      <c r="S32" s="191">
        <f>SUM(S14:T30)</f>
        <v>15</v>
      </c>
      <c r="T32" s="178"/>
      <c r="U32" s="191">
        <f>SUM(U14:U30)</f>
        <v>294.45249423793206</v>
      </c>
      <c r="V32" s="138"/>
      <c r="W32" s="191">
        <f>SUM(W14:W30)</f>
        <v>15</v>
      </c>
      <c r="X32" s="138"/>
      <c r="Y32" s="191">
        <f>SUM(Y14:Y30)</f>
        <v>6.1800000000000006</v>
      </c>
      <c r="Z32" s="138"/>
      <c r="AA32" s="191">
        <f>SUM(AA14:AA30)</f>
        <v>6.3654000000000002</v>
      </c>
      <c r="AB32" s="138"/>
      <c r="AC32" s="191">
        <f>SUM(AC14:AC30)</f>
        <v>6.556362</v>
      </c>
      <c r="AD32" s="138"/>
      <c r="AE32" s="191">
        <f>SUM(AE14:AE30)</f>
        <v>6.7530528599999986</v>
      </c>
      <c r="AF32" s="138"/>
      <c r="AG32" s="191">
        <f>SUM(AG14:AG30)</f>
        <v>6.9556444457999991</v>
      </c>
      <c r="AH32" s="138"/>
      <c r="AI32" s="191">
        <f>SUM(AI14:AI30)</f>
        <v>7.164313779173999</v>
      </c>
      <c r="AJ32" s="138"/>
      <c r="AK32" s="191">
        <f>SUM(AK14:AK30)</f>
        <v>7.3792431925492199</v>
      </c>
      <c r="AL32" s="138"/>
      <c r="AM32" s="191">
        <f>SUM(AM14:AM30)</f>
        <v>7.6006204883256956</v>
      </c>
      <c r="AN32" s="138"/>
      <c r="AO32" s="191">
        <f>SUM(AO14:AO30)</f>
        <v>7.8286391029754663</v>
      </c>
      <c r="AP32" s="138"/>
      <c r="AQ32" s="191">
        <f>SUM(AQ14:AQ30)</f>
        <v>8.0634982760647311</v>
      </c>
      <c r="AR32" s="138"/>
      <c r="AS32" s="191">
        <f>SUM(AS14:AS30)</f>
        <v>8.3054032243466729</v>
      </c>
      <c r="AT32" s="138"/>
      <c r="AU32" s="191">
        <f>SUM(AU14:AU30)</f>
        <v>8.5545653210770727</v>
      </c>
      <c r="AV32" s="138"/>
      <c r="AW32" s="191">
        <f>SUM(AW14:AW30)</f>
        <v>8.8112022807093826</v>
      </c>
      <c r="AX32" s="138"/>
      <c r="AY32" s="191">
        <f>SUM(AY14:AY30)</f>
        <v>9.0755383491306656</v>
      </c>
      <c r="AZ32" s="138"/>
      <c r="BJ32" s="178"/>
      <c r="BK32" s="178"/>
      <c r="BL32" s="178"/>
      <c r="BM32" s="178"/>
      <c r="BN32" s="178"/>
      <c r="BO32" s="178"/>
      <c r="BP32" s="178"/>
      <c r="BQ32" s="178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</row>
    <row r="33" spans="1:81" s="151" customFormat="1" ht="24" thickTop="1" x14ac:dyDescent="0.35">
      <c r="A33" s="193"/>
      <c r="B33" s="194"/>
      <c r="C33" s="195"/>
      <c r="D33" s="196"/>
      <c r="E33" s="193"/>
      <c r="F33" s="194"/>
      <c r="G33" s="194"/>
      <c r="H33" s="194"/>
      <c r="I33" s="193"/>
      <c r="J33" s="194"/>
      <c r="K33" s="193"/>
      <c r="L33" s="194"/>
      <c r="M33" s="193"/>
      <c r="N33" s="194"/>
      <c r="O33" s="197"/>
      <c r="P33" s="194"/>
      <c r="Q33" s="198"/>
      <c r="R33" s="194"/>
      <c r="S33" s="199"/>
      <c r="T33" s="200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1"/>
      <c r="AQ33" s="201"/>
      <c r="AR33" s="201"/>
      <c r="AS33" s="201"/>
      <c r="AT33" s="201"/>
      <c r="AU33" s="201"/>
      <c r="AV33" s="201"/>
      <c r="AW33" s="201"/>
      <c r="AX33" s="201"/>
      <c r="AY33" s="201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</row>
    <row r="34" spans="1:81" x14ac:dyDescent="0.35">
      <c r="A34" s="150"/>
      <c r="B34" s="151"/>
      <c r="C34" s="203"/>
      <c r="D34" s="179"/>
      <c r="E34" s="150"/>
      <c r="F34" s="151"/>
      <c r="G34" s="151"/>
      <c r="H34" s="151"/>
      <c r="I34" s="150"/>
      <c r="J34" s="151"/>
      <c r="K34" s="150"/>
      <c r="L34" s="151"/>
      <c r="M34" s="150"/>
      <c r="N34" s="151"/>
      <c r="O34" s="204"/>
      <c r="P34" s="151"/>
      <c r="Q34" s="205"/>
      <c r="R34" s="151"/>
      <c r="S34" s="206"/>
      <c r="T34" s="206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</row>
    <row r="35" spans="1:81" ht="22.9" customHeight="1" x14ac:dyDescent="0.35">
      <c r="A35" s="283" t="s">
        <v>0</v>
      </c>
      <c r="B35" s="141"/>
      <c r="C35" s="192"/>
      <c r="E35" s="142"/>
      <c r="F35" s="141"/>
      <c r="G35" s="141"/>
      <c r="H35" s="142"/>
      <c r="I35" s="142">
        <v>16</v>
      </c>
      <c r="J35" s="142"/>
      <c r="K35" s="142">
        <v>17</v>
      </c>
      <c r="L35" s="142"/>
      <c r="M35" s="142">
        <v>18</v>
      </c>
      <c r="N35" s="142"/>
      <c r="O35" s="142">
        <v>19</v>
      </c>
      <c r="P35" s="142"/>
      <c r="Q35" s="142">
        <v>20</v>
      </c>
      <c r="R35" s="142"/>
      <c r="S35" s="142">
        <f>+Q35+1</f>
        <v>21</v>
      </c>
      <c r="T35" s="142"/>
      <c r="U35" s="142">
        <f>+S35+1</f>
        <v>22</v>
      </c>
      <c r="V35" s="142"/>
      <c r="W35" s="142">
        <f>+U35+1</f>
        <v>23</v>
      </c>
      <c r="X35" s="142"/>
      <c r="Y35" s="142">
        <f>+W35+1</f>
        <v>24</v>
      </c>
      <c r="Z35" s="142"/>
      <c r="AA35" s="142">
        <f>+Y35+1</f>
        <v>25</v>
      </c>
      <c r="AC35" s="142">
        <f>+AA35+1</f>
        <v>26</v>
      </c>
      <c r="AE35" s="142">
        <f>+AC35+1</f>
        <v>27</v>
      </c>
      <c r="AG35" s="142">
        <f>+AE35+1</f>
        <v>28</v>
      </c>
      <c r="AI35" s="142">
        <f>+AG35+1</f>
        <v>29</v>
      </c>
      <c r="AK35" s="142">
        <f>+AI35+1</f>
        <v>30</v>
      </c>
    </row>
    <row r="36" spans="1:81" x14ac:dyDescent="0.35">
      <c r="A36" s="284"/>
      <c r="B36" s="155"/>
      <c r="C36" s="156" t="s">
        <v>30</v>
      </c>
      <c r="D36" s="157"/>
      <c r="E36" s="158" t="s">
        <v>1</v>
      </c>
      <c r="F36" s="155"/>
      <c r="G36" s="158" t="s">
        <v>2</v>
      </c>
      <c r="H36" s="155"/>
      <c r="I36" s="158">
        <f>AY10+1</f>
        <v>2039</v>
      </c>
      <c r="J36" s="158">
        <f>AZ10+1</f>
        <v>1</v>
      </c>
      <c r="K36" s="158">
        <f t="shared" ref="K36:Q36" si="24">I36+1</f>
        <v>2040</v>
      </c>
      <c r="L36" s="158">
        <f t="shared" si="24"/>
        <v>2</v>
      </c>
      <c r="M36" s="158">
        <f t="shared" si="24"/>
        <v>2041</v>
      </c>
      <c r="N36" s="158">
        <f t="shared" si="24"/>
        <v>3</v>
      </c>
      <c r="O36" s="158">
        <f t="shared" si="24"/>
        <v>2042</v>
      </c>
      <c r="P36" s="158">
        <f t="shared" si="24"/>
        <v>4</v>
      </c>
      <c r="Q36" s="158">
        <f t="shared" si="24"/>
        <v>2043</v>
      </c>
      <c r="R36" s="158"/>
      <c r="S36" s="158">
        <f>+Q36+1</f>
        <v>2044</v>
      </c>
      <c r="T36" s="158">
        <f t="shared" ref="T36:AK36" si="25">R36+1</f>
        <v>1</v>
      </c>
      <c r="U36" s="158">
        <f t="shared" si="25"/>
        <v>2045</v>
      </c>
      <c r="V36" s="158">
        <f>T36+1</f>
        <v>2</v>
      </c>
      <c r="W36" s="158">
        <f>U36+1</f>
        <v>2046</v>
      </c>
      <c r="X36" s="158">
        <f t="shared" si="25"/>
        <v>3</v>
      </c>
      <c r="Y36" s="158">
        <f t="shared" si="25"/>
        <v>2047</v>
      </c>
      <c r="Z36" s="158">
        <f t="shared" si="25"/>
        <v>4</v>
      </c>
      <c r="AA36" s="158">
        <f t="shared" si="25"/>
        <v>2048</v>
      </c>
      <c r="AC36" s="158">
        <f t="shared" si="25"/>
        <v>2049</v>
      </c>
      <c r="AE36" s="158">
        <f t="shared" si="25"/>
        <v>2050</v>
      </c>
      <c r="AG36" s="158">
        <f t="shared" si="25"/>
        <v>2051</v>
      </c>
      <c r="AI36" s="158">
        <f t="shared" si="25"/>
        <v>2052</v>
      </c>
      <c r="AK36" s="158">
        <f t="shared" si="25"/>
        <v>2053</v>
      </c>
      <c r="AL36" s="155"/>
    </row>
    <row r="37" spans="1:81" ht="9.4" customHeight="1" x14ac:dyDescent="0.35">
      <c r="B37" s="155"/>
      <c r="C37" s="161"/>
      <c r="D37" s="157"/>
      <c r="E37" s="154"/>
      <c r="G37" s="154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L37" s="155"/>
    </row>
    <row r="38" spans="1:81" x14ac:dyDescent="0.35">
      <c r="C38" s="137"/>
      <c r="G38" s="144" t="str">
        <f>+G12</f>
        <v>ELEMENTS REPLACE</v>
      </c>
      <c r="J38" s="135"/>
      <c r="L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</row>
    <row r="39" spans="1:81" ht="9.4" customHeight="1" x14ac:dyDescent="0.35">
      <c r="C39" s="137"/>
      <c r="G39" s="144"/>
      <c r="I39" s="167"/>
      <c r="J39" s="167"/>
      <c r="K39" s="167"/>
      <c r="L39" s="167"/>
      <c r="M39" s="167"/>
      <c r="N39" s="167"/>
      <c r="O39" s="167"/>
      <c r="P39" s="167"/>
      <c r="Q39" s="16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</row>
    <row r="40" spans="1:81" x14ac:dyDescent="0.35">
      <c r="A40" s="168">
        <f t="shared" ref="A40:A48" si="26">+A14</f>
        <v>63</v>
      </c>
      <c r="B40" s="169"/>
      <c r="C40" s="174">
        <f t="shared" ref="C40:C48" si="27">+C14</f>
        <v>1</v>
      </c>
      <c r="D40" s="171"/>
      <c r="E40" s="168" t="str">
        <f t="shared" ref="E40:E48" si="28">+E14</f>
        <v>x</v>
      </c>
      <c r="F40" s="169"/>
      <c r="G40" s="169" t="str">
        <f t="shared" ref="G40:G48" si="29">+G14</f>
        <v>x</v>
      </c>
      <c r="H40" s="169"/>
      <c r="I40" s="208">
        <f>IF(I$35=$M14,FV($U$6,$M14-1,,-$S14,0),0)</f>
        <v>0</v>
      </c>
      <c r="J40" s="209"/>
      <c r="K40" s="208">
        <f t="shared" ref="K40:K48" si="30">IF(K$35=$M14,FV($U$6,$M14-1,,-$S14,0),0)</f>
        <v>0</v>
      </c>
      <c r="L40" s="209"/>
      <c r="M40" s="208">
        <f t="shared" ref="M40:M48" si="31">IF(M$35=$M14,FV($U$6,$M14-1,,-$S14,0),0)</f>
        <v>0</v>
      </c>
      <c r="N40" s="209"/>
      <c r="O40" s="208">
        <f t="shared" ref="O40:O48" si="32">IF(O$35=$M14,FV($U$6,$M14-1,,-$S14,0),0)</f>
        <v>0</v>
      </c>
      <c r="P40" s="209"/>
      <c r="Q40" s="208">
        <f t="shared" ref="Q40:Q48" si="33">IF(Q$35=$M14,FV($U$6,$M14-1,,-$S14,0),0)</f>
        <v>0</v>
      </c>
      <c r="R40" s="209"/>
      <c r="S40" s="208">
        <f t="shared" ref="S40:S48" si="34">IF(S$35=$M14,FV($U$6,$M14-1,,-$S14,0),0)</f>
        <v>0</v>
      </c>
      <c r="T40" s="209"/>
      <c r="U40" s="208">
        <f t="shared" ref="U40:U48" si="35">IF(U$35=$M14,FV($U$6,$M14-1,,-$S14,0),0)</f>
        <v>0</v>
      </c>
      <c r="V40" s="209"/>
      <c r="W40" s="208">
        <f t="shared" ref="W40:W48" si="36">IF(W$35=$M14,FV($U$6,$M14-1,,-$S14,0),0)</f>
        <v>0</v>
      </c>
      <c r="X40" s="209"/>
      <c r="Y40" s="208">
        <f t="shared" ref="Y40:Y48" si="37">IF(Y$35=$M14,FV($U$6,$M14-1,,-$S14,0),0)</f>
        <v>0</v>
      </c>
      <c r="Z40" s="209"/>
      <c r="AA40" s="208">
        <f t="shared" ref="AA40:AA48" si="38">IF(AA$35=$M14,FV($U$6,$M14-1,,-$S14,0),0)</f>
        <v>0</v>
      </c>
      <c r="AB40" s="209"/>
      <c r="AC40" s="208">
        <f t="shared" ref="AC40:AC48" si="39">IF(AC$35=$M14,FV($U$6,$M14-1,,-$S14,0),0)</f>
        <v>0</v>
      </c>
      <c r="AD40" s="209"/>
      <c r="AE40" s="208">
        <f t="shared" ref="AE40:AE48" si="40">IF(AE$35=$M14,FV($U$6,$M14-1,,-$S14,0),0)</f>
        <v>0</v>
      </c>
      <c r="AF40" s="209"/>
      <c r="AG40" s="208">
        <f t="shared" ref="AG40:AG48" si="41">IF(AG$35=$M14,FV($U$6,$M14-1,,-$S14,0),0)</f>
        <v>0</v>
      </c>
      <c r="AH40" s="209"/>
      <c r="AI40" s="208">
        <f t="shared" ref="AI40:AI48" si="42">IF(AI$35=$M14,FV($U$6,$M14-1,,-$S14,0),0)</f>
        <v>0</v>
      </c>
      <c r="AJ40" s="209"/>
      <c r="AK40" s="208">
        <f t="shared" ref="AK40:AK48" si="43">IF(AK$35=$M14,FV($U$6,$M14-1,,-$S14,0),0)</f>
        <v>0</v>
      </c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</row>
    <row r="41" spans="1:81" x14ac:dyDescent="0.35">
      <c r="A41" s="168">
        <f t="shared" si="26"/>
        <v>64</v>
      </c>
      <c r="B41" s="169"/>
      <c r="C41" s="174">
        <f t="shared" si="27"/>
        <v>1</v>
      </c>
      <c r="D41" s="171"/>
      <c r="E41" s="168" t="str">
        <f t="shared" si="28"/>
        <v>x</v>
      </c>
      <c r="F41" s="169"/>
      <c r="G41" s="169" t="str">
        <f t="shared" si="29"/>
        <v>x</v>
      </c>
      <c r="H41" s="169"/>
      <c r="I41" s="208">
        <f t="shared" ref="I41:I48" si="44">IF(I$35=$M15,FV($U$6,$M15-1,,-$S15,0),0)</f>
        <v>0</v>
      </c>
      <c r="J41" s="209"/>
      <c r="K41" s="208">
        <f t="shared" si="30"/>
        <v>0</v>
      </c>
      <c r="L41" s="209"/>
      <c r="M41" s="208">
        <f t="shared" si="31"/>
        <v>0</v>
      </c>
      <c r="N41" s="209"/>
      <c r="O41" s="208">
        <f t="shared" si="32"/>
        <v>0</v>
      </c>
      <c r="P41" s="209"/>
      <c r="Q41" s="208">
        <f t="shared" si="33"/>
        <v>0</v>
      </c>
      <c r="R41" s="209"/>
      <c r="S41" s="208">
        <f t="shared" si="34"/>
        <v>0</v>
      </c>
      <c r="T41" s="209"/>
      <c r="U41" s="208">
        <f t="shared" si="35"/>
        <v>0</v>
      </c>
      <c r="V41" s="209"/>
      <c r="W41" s="208">
        <f t="shared" si="36"/>
        <v>0</v>
      </c>
      <c r="X41" s="209"/>
      <c r="Y41" s="208">
        <f t="shared" si="37"/>
        <v>0</v>
      </c>
      <c r="Z41" s="209"/>
      <c r="AA41" s="208">
        <f t="shared" si="38"/>
        <v>0</v>
      </c>
      <c r="AB41" s="209"/>
      <c r="AC41" s="208">
        <f t="shared" si="39"/>
        <v>0</v>
      </c>
      <c r="AD41" s="209"/>
      <c r="AE41" s="208">
        <f t="shared" si="40"/>
        <v>0</v>
      </c>
      <c r="AF41" s="209"/>
      <c r="AG41" s="208">
        <f t="shared" si="41"/>
        <v>0</v>
      </c>
      <c r="AH41" s="209"/>
      <c r="AI41" s="208">
        <f t="shared" si="42"/>
        <v>0</v>
      </c>
      <c r="AJ41" s="209"/>
      <c r="AK41" s="208">
        <f t="shared" si="43"/>
        <v>0</v>
      </c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0"/>
      <c r="BM41" s="140"/>
      <c r="BN41" s="140"/>
      <c r="BO41" s="140"/>
      <c r="BP41" s="140"/>
      <c r="BQ41" s="140"/>
      <c r="BR41" s="140"/>
      <c r="BS41" s="140"/>
      <c r="BT41" s="140"/>
      <c r="BU41" s="140"/>
      <c r="BV41" s="140"/>
      <c r="BW41" s="140"/>
      <c r="BX41" s="140"/>
      <c r="BY41" s="140"/>
      <c r="BZ41" s="140"/>
      <c r="CA41" s="140"/>
      <c r="CB41" s="140"/>
    </row>
    <row r="42" spans="1:81" x14ac:dyDescent="0.35">
      <c r="A42" s="168">
        <f t="shared" si="26"/>
        <v>65</v>
      </c>
      <c r="B42" s="169"/>
      <c r="C42" s="174">
        <f t="shared" si="27"/>
        <v>1</v>
      </c>
      <c r="D42" s="171"/>
      <c r="E42" s="168" t="str">
        <f t="shared" si="28"/>
        <v>x</v>
      </c>
      <c r="F42" s="169"/>
      <c r="G42" s="169" t="str">
        <f t="shared" si="29"/>
        <v>x</v>
      </c>
      <c r="H42" s="169"/>
      <c r="I42" s="208">
        <f t="shared" si="44"/>
        <v>0</v>
      </c>
      <c r="J42" s="209"/>
      <c r="K42" s="208">
        <f t="shared" si="30"/>
        <v>0</v>
      </c>
      <c r="L42" s="209"/>
      <c r="M42" s="208">
        <f t="shared" si="31"/>
        <v>0</v>
      </c>
      <c r="N42" s="209"/>
      <c r="O42" s="208">
        <f t="shared" si="32"/>
        <v>0</v>
      </c>
      <c r="P42" s="209"/>
      <c r="Q42" s="208">
        <f t="shared" si="33"/>
        <v>0</v>
      </c>
      <c r="R42" s="209"/>
      <c r="S42" s="208">
        <f t="shared" si="34"/>
        <v>0</v>
      </c>
      <c r="T42" s="209"/>
      <c r="U42" s="208">
        <f t="shared" si="35"/>
        <v>0</v>
      </c>
      <c r="V42" s="209"/>
      <c r="W42" s="208">
        <f t="shared" si="36"/>
        <v>0</v>
      </c>
      <c r="X42" s="209"/>
      <c r="Y42" s="208">
        <f t="shared" si="37"/>
        <v>0</v>
      </c>
      <c r="Z42" s="209"/>
      <c r="AA42" s="208">
        <f t="shared" si="38"/>
        <v>0</v>
      </c>
      <c r="AB42" s="209"/>
      <c r="AC42" s="208">
        <f t="shared" si="39"/>
        <v>0</v>
      </c>
      <c r="AD42" s="209"/>
      <c r="AE42" s="208">
        <f t="shared" si="40"/>
        <v>0</v>
      </c>
      <c r="AF42" s="209"/>
      <c r="AG42" s="208">
        <f t="shared" si="41"/>
        <v>0</v>
      </c>
      <c r="AH42" s="209"/>
      <c r="AI42" s="208">
        <f t="shared" si="42"/>
        <v>0</v>
      </c>
      <c r="AJ42" s="209"/>
      <c r="AK42" s="208">
        <f t="shared" si="43"/>
        <v>0</v>
      </c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40"/>
      <c r="BI42" s="140"/>
      <c r="BJ42" s="140"/>
      <c r="BK42" s="140"/>
      <c r="BL42" s="140"/>
      <c r="BM42" s="140"/>
      <c r="BN42" s="140"/>
      <c r="BO42" s="140"/>
      <c r="BP42" s="140"/>
      <c r="BQ42" s="140"/>
      <c r="BR42" s="140"/>
      <c r="BS42" s="140"/>
      <c r="BT42" s="140"/>
      <c r="BU42" s="140"/>
      <c r="BV42" s="140"/>
      <c r="BW42" s="140"/>
      <c r="BX42" s="140"/>
      <c r="BY42" s="140"/>
      <c r="BZ42" s="140"/>
      <c r="CA42" s="140"/>
      <c r="CB42" s="140"/>
    </row>
    <row r="43" spans="1:81" x14ac:dyDescent="0.35">
      <c r="A43" s="135">
        <f t="shared" si="26"/>
        <v>66</v>
      </c>
      <c r="C43" s="178">
        <f t="shared" si="27"/>
        <v>1</v>
      </c>
      <c r="E43" s="135" t="str">
        <f t="shared" si="28"/>
        <v>x</v>
      </c>
      <c r="G43" s="136" t="str">
        <f t="shared" si="29"/>
        <v>x</v>
      </c>
      <c r="I43" s="210">
        <f t="shared" si="44"/>
        <v>0</v>
      </c>
      <c r="J43" s="230"/>
      <c r="K43" s="210">
        <f t="shared" si="30"/>
        <v>0</v>
      </c>
      <c r="L43" s="230"/>
      <c r="M43" s="210">
        <f t="shared" si="31"/>
        <v>0</v>
      </c>
      <c r="N43" s="230"/>
      <c r="O43" s="210">
        <f t="shared" si="32"/>
        <v>0</v>
      </c>
      <c r="P43" s="230"/>
      <c r="Q43" s="210">
        <f t="shared" si="33"/>
        <v>0</v>
      </c>
      <c r="R43" s="230"/>
      <c r="S43" s="210">
        <f t="shared" si="34"/>
        <v>0</v>
      </c>
      <c r="T43" s="230"/>
      <c r="U43" s="210">
        <f t="shared" si="35"/>
        <v>0</v>
      </c>
      <c r="V43" s="230"/>
      <c r="W43" s="210">
        <f t="shared" si="36"/>
        <v>0</v>
      </c>
      <c r="X43" s="230"/>
      <c r="Y43" s="210">
        <f t="shared" si="37"/>
        <v>0</v>
      </c>
      <c r="Z43" s="230"/>
      <c r="AA43" s="210">
        <f t="shared" si="38"/>
        <v>0</v>
      </c>
      <c r="AB43" s="230"/>
      <c r="AC43" s="210">
        <f t="shared" si="39"/>
        <v>0</v>
      </c>
      <c r="AD43" s="230"/>
      <c r="AE43" s="210">
        <f t="shared" si="40"/>
        <v>0</v>
      </c>
      <c r="AF43" s="230"/>
      <c r="AG43" s="210">
        <f t="shared" si="41"/>
        <v>0</v>
      </c>
      <c r="AH43" s="230"/>
      <c r="AI43" s="210">
        <f t="shared" si="42"/>
        <v>0</v>
      </c>
      <c r="AJ43" s="230"/>
      <c r="AK43" s="210">
        <f t="shared" si="43"/>
        <v>0</v>
      </c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</row>
    <row r="44" spans="1:81" x14ac:dyDescent="0.35">
      <c r="A44" s="135">
        <f t="shared" si="26"/>
        <v>67</v>
      </c>
      <c r="C44" s="178">
        <f t="shared" si="27"/>
        <v>1</v>
      </c>
      <c r="E44" s="135" t="str">
        <f t="shared" si="28"/>
        <v>x</v>
      </c>
      <c r="G44" s="136" t="str">
        <f t="shared" si="29"/>
        <v>x</v>
      </c>
      <c r="I44" s="210">
        <f t="shared" si="44"/>
        <v>0</v>
      </c>
      <c r="J44" s="230"/>
      <c r="K44" s="210">
        <f t="shared" si="30"/>
        <v>0</v>
      </c>
      <c r="L44" s="230"/>
      <c r="M44" s="210">
        <f t="shared" si="31"/>
        <v>0</v>
      </c>
      <c r="N44" s="230"/>
      <c r="O44" s="210">
        <f t="shared" si="32"/>
        <v>0</v>
      </c>
      <c r="P44" s="230"/>
      <c r="Q44" s="210">
        <f t="shared" si="33"/>
        <v>0</v>
      </c>
      <c r="R44" s="230"/>
      <c r="S44" s="210">
        <f t="shared" si="34"/>
        <v>0</v>
      </c>
      <c r="T44" s="230"/>
      <c r="U44" s="210">
        <f t="shared" si="35"/>
        <v>0</v>
      </c>
      <c r="V44" s="230"/>
      <c r="W44" s="210">
        <f t="shared" si="36"/>
        <v>0</v>
      </c>
      <c r="X44" s="230"/>
      <c r="Y44" s="210">
        <f t="shared" si="37"/>
        <v>0</v>
      </c>
      <c r="Z44" s="230"/>
      <c r="AA44" s="210">
        <f t="shared" si="38"/>
        <v>0</v>
      </c>
      <c r="AB44" s="230"/>
      <c r="AC44" s="210">
        <f t="shared" si="39"/>
        <v>0</v>
      </c>
      <c r="AD44" s="230"/>
      <c r="AE44" s="210">
        <f t="shared" si="40"/>
        <v>0</v>
      </c>
      <c r="AF44" s="230"/>
      <c r="AG44" s="210">
        <f t="shared" si="41"/>
        <v>0</v>
      </c>
      <c r="AH44" s="230"/>
      <c r="AI44" s="210">
        <f t="shared" si="42"/>
        <v>0</v>
      </c>
      <c r="AJ44" s="230"/>
      <c r="AK44" s="210">
        <f t="shared" si="43"/>
        <v>0</v>
      </c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</row>
    <row r="45" spans="1:81" x14ac:dyDescent="0.35">
      <c r="A45" s="135">
        <f t="shared" si="26"/>
        <v>68</v>
      </c>
      <c r="C45" s="178">
        <f t="shared" si="27"/>
        <v>1</v>
      </c>
      <c r="E45" s="135" t="str">
        <f t="shared" si="28"/>
        <v>x</v>
      </c>
      <c r="G45" s="136" t="str">
        <f t="shared" si="29"/>
        <v>x</v>
      </c>
      <c r="I45" s="210">
        <f t="shared" si="44"/>
        <v>0</v>
      </c>
      <c r="J45" s="230"/>
      <c r="K45" s="210">
        <f t="shared" si="30"/>
        <v>0</v>
      </c>
      <c r="L45" s="230"/>
      <c r="M45" s="210">
        <f t="shared" si="31"/>
        <v>0</v>
      </c>
      <c r="N45" s="230"/>
      <c r="O45" s="210">
        <f t="shared" si="32"/>
        <v>0</v>
      </c>
      <c r="P45" s="230"/>
      <c r="Q45" s="210">
        <f t="shared" si="33"/>
        <v>0</v>
      </c>
      <c r="R45" s="230"/>
      <c r="S45" s="210">
        <f t="shared" si="34"/>
        <v>0</v>
      </c>
      <c r="T45" s="230"/>
      <c r="U45" s="210">
        <f t="shared" si="35"/>
        <v>0</v>
      </c>
      <c r="V45" s="230"/>
      <c r="W45" s="210">
        <f t="shared" si="36"/>
        <v>0</v>
      </c>
      <c r="X45" s="230"/>
      <c r="Y45" s="210">
        <f t="shared" si="37"/>
        <v>0</v>
      </c>
      <c r="Z45" s="230"/>
      <c r="AA45" s="210">
        <f t="shared" si="38"/>
        <v>0</v>
      </c>
      <c r="AB45" s="230"/>
      <c r="AC45" s="210">
        <f t="shared" si="39"/>
        <v>0</v>
      </c>
      <c r="AD45" s="230"/>
      <c r="AE45" s="210">
        <f t="shared" si="40"/>
        <v>0</v>
      </c>
      <c r="AF45" s="230"/>
      <c r="AG45" s="210">
        <f t="shared" si="41"/>
        <v>0</v>
      </c>
      <c r="AH45" s="230"/>
      <c r="AI45" s="210">
        <f t="shared" si="42"/>
        <v>0</v>
      </c>
      <c r="AJ45" s="230"/>
      <c r="AK45" s="210">
        <f t="shared" si="43"/>
        <v>0</v>
      </c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40"/>
      <c r="BI45" s="140"/>
      <c r="BJ45" s="140"/>
      <c r="BK45" s="140"/>
      <c r="BL45" s="140"/>
      <c r="BM45" s="140"/>
      <c r="BN45" s="140"/>
      <c r="BO45" s="140"/>
      <c r="BP45" s="140"/>
      <c r="BQ45" s="140"/>
      <c r="BR45" s="140"/>
      <c r="BS45" s="140"/>
      <c r="BT45" s="140"/>
      <c r="BU45" s="140"/>
      <c r="BV45" s="140"/>
      <c r="BW45" s="140"/>
      <c r="BX45" s="140"/>
      <c r="BY45" s="140"/>
      <c r="BZ45" s="140"/>
      <c r="CA45" s="140"/>
      <c r="CB45" s="140"/>
    </row>
    <row r="46" spans="1:81" x14ac:dyDescent="0.35">
      <c r="A46" s="168">
        <f t="shared" si="26"/>
        <v>69</v>
      </c>
      <c r="B46" s="169"/>
      <c r="C46" s="174">
        <f t="shared" si="27"/>
        <v>1</v>
      </c>
      <c r="D46" s="171"/>
      <c r="E46" s="168" t="str">
        <f t="shared" si="28"/>
        <v>x</v>
      </c>
      <c r="F46" s="169"/>
      <c r="G46" s="169" t="str">
        <f t="shared" si="29"/>
        <v>x</v>
      </c>
      <c r="H46" s="169"/>
      <c r="I46" s="208">
        <f t="shared" si="44"/>
        <v>0</v>
      </c>
      <c r="J46" s="209"/>
      <c r="K46" s="208">
        <f t="shared" si="30"/>
        <v>0</v>
      </c>
      <c r="L46" s="209"/>
      <c r="M46" s="208">
        <f t="shared" si="31"/>
        <v>0</v>
      </c>
      <c r="N46" s="209"/>
      <c r="O46" s="208">
        <f t="shared" si="32"/>
        <v>0</v>
      </c>
      <c r="P46" s="209"/>
      <c r="Q46" s="208">
        <f t="shared" si="33"/>
        <v>0</v>
      </c>
      <c r="R46" s="209"/>
      <c r="S46" s="208">
        <f t="shared" si="34"/>
        <v>0</v>
      </c>
      <c r="T46" s="209"/>
      <c r="U46" s="208">
        <f t="shared" si="35"/>
        <v>0</v>
      </c>
      <c r="V46" s="209"/>
      <c r="W46" s="208">
        <f t="shared" si="36"/>
        <v>0</v>
      </c>
      <c r="X46" s="209"/>
      <c r="Y46" s="208">
        <f t="shared" si="37"/>
        <v>0</v>
      </c>
      <c r="Z46" s="209"/>
      <c r="AA46" s="208">
        <f t="shared" si="38"/>
        <v>0</v>
      </c>
      <c r="AB46" s="209"/>
      <c r="AC46" s="208">
        <f t="shared" si="39"/>
        <v>0</v>
      </c>
      <c r="AD46" s="209"/>
      <c r="AE46" s="208">
        <f t="shared" si="40"/>
        <v>0</v>
      </c>
      <c r="AF46" s="209"/>
      <c r="AG46" s="208">
        <f t="shared" si="41"/>
        <v>0</v>
      </c>
      <c r="AH46" s="209"/>
      <c r="AI46" s="208">
        <f t="shared" si="42"/>
        <v>0</v>
      </c>
      <c r="AJ46" s="209"/>
      <c r="AK46" s="208">
        <f t="shared" si="43"/>
        <v>0</v>
      </c>
    </row>
    <row r="47" spans="1:81" x14ac:dyDescent="0.35">
      <c r="A47" s="168">
        <f t="shared" si="26"/>
        <v>70</v>
      </c>
      <c r="B47" s="169"/>
      <c r="C47" s="174">
        <f t="shared" si="27"/>
        <v>1</v>
      </c>
      <c r="D47" s="171"/>
      <c r="E47" s="168" t="str">
        <f t="shared" si="28"/>
        <v>x</v>
      </c>
      <c r="F47" s="169"/>
      <c r="G47" s="169" t="str">
        <f t="shared" si="29"/>
        <v>x</v>
      </c>
      <c r="H47" s="169"/>
      <c r="I47" s="208">
        <f t="shared" si="44"/>
        <v>0</v>
      </c>
      <c r="J47" s="209"/>
      <c r="K47" s="208">
        <f t="shared" si="30"/>
        <v>0</v>
      </c>
      <c r="L47" s="209"/>
      <c r="M47" s="208">
        <f t="shared" si="31"/>
        <v>0</v>
      </c>
      <c r="N47" s="209"/>
      <c r="O47" s="208">
        <f t="shared" si="32"/>
        <v>0</v>
      </c>
      <c r="P47" s="209"/>
      <c r="Q47" s="208">
        <f t="shared" si="33"/>
        <v>0</v>
      </c>
      <c r="R47" s="209"/>
      <c r="S47" s="208">
        <f t="shared" si="34"/>
        <v>0</v>
      </c>
      <c r="T47" s="209"/>
      <c r="U47" s="208">
        <f t="shared" si="35"/>
        <v>0</v>
      </c>
      <c r="V47" s="209"/>
      <c r="W47" s="208">
        <f t="shared" si="36"/>
        <v>0</v>
      </c>
      <c r="X47" s="209"/>
      <c r="Y47" s="208">
        <f t="shared" si="37"/>
        <v>0</v>
      </c>
      <c r="Z47" s="209"/>
      <c r="AA47" s="208">
        <f t="shared" si="38"/>
        <v>0</v>
      </c>
      <c r="AB47" s="209"/>
      <c r="AC47" s="208">
        <f t="shared" si="39"/>
        <v>0</v>
      </c>
      <c r="AD47" s="209"/>
      <c r="AE47" s="208">
        <f t="shared" si="40"/>
        <v>0</v>
      </c>
      <c r="AF47" s="209"/>
      <c r="AG47" s="208">
        <f t="shared" si="41"/>
        <v>0</v>
      </c>
      <c r="AH47" s="209"/>
      <c r="AI47" s="208">
        <f t="shared" si="42"/>
        <v>0</v>
      </c>
      <c r="AJ47" s="209"/>
      <c r="AK47" s="208">
        <f t="shared" si="43"/>
        <v>0</v>
      </c>
    </row>
    <row r="48" spans="1:81" x14ac:dyDescent="0.35">
      <c r="A48" s="168">
        <f t="shared" si="26"/>
        <v>71</v>
      </c>
      <c r="B48" s="169"/>
      <c r="C48" s="174">
        <f t="shared" si="27"/>
        <v>1</v>
      </c>
      <c r="D48" s="171"/>
      <c r="E48" s="168" t="str">
        <f t="shared" si="28"/>
        <v>x</v>
      </c>
      <c r="F48" s="169"/>
      <c r="G48" s="169" t="str">
        <f t="shared" si="29"/>
        <v>x</v>
      </c>
      <c r="H48" s="169"/>
      <c r="I48" s="208">
        <f t="shared" si="44"/>
        <v>0</v>
      </c>
      <c r="J48" s="209"/>
      <c r="K48" s="208">
        <f t="shared" si="30"/>
        <v>0</v>
      </c>
      <c r="L48" s="209"/>
      <c r="M48" s="208">
        <f t="shared" si="31"/>
        <v>0</v>
      </c>
      <c r="N48" s="209"/>
      <c r="O48" s="208">
        <f t="shared" si="32"/>
        <v>0</v>
      </c>
      <c r="P48" s="209"/>
      <c r="Q48" s="208">
        <f t="shared" si="33"/>
        <v>0</v>
      </c>
      <c r="R48" s="209"/>
      <c r="S48" s="208">
        <f t="shared" si="34"/>
        <v>0</v>
      </c>
      <c r="T48" s="209"/>
      <c r="U48" s="208">
        <f t="shared" si="35"/>
        <v>0</v>
      </c>
      <c r="V48" s="209"/>
      <c r="W48" s="208">
        <f t="shared" si="36"/>
        <v>0</v>
      </c>
      <c r="X48" s="209"/>
      <c r="Y48" s="208">
        <f t="shared" si="37"/>
        <v>0</v>
      </c>
      <c r="Z48" s="209"/>
      <c r="AA48" s="208">
        <f t="shared" si="38"/>
        <v>0</v>
      </c>
      <c r="AB48" s="209"/>
      <c r="AC48" s="208">
        <f t="shared" si="39"/>
        <v>0</v>
      </c>
      <c r="AD48" s="209"/>
      <c r="AE48" s="208">
        <f t="shared" si="40"/>
        <v>0</v>
      </c>
      <c r="AF48" s="209"/>
      <c r="AG48" s="208">
        <f t="shared" si="41"/>
        <v>0</v>
      </c>
      <c r="AH48" s="209"/>
      <c r="AI48" s="208">
        <f t="shared" si="42"/>
        <v>0</v>
      </c>
      <c r="AJ48" s="209"/>
      <c r="AK48" s="208">
        <f t="shared" si="43"/>
        <v>0</v>
      </c>
    </row>
    <row r="49" spans="1:41" x14ac:dyDescent="0.35">
      <c r="I49" s="210"/>
      <c r="J49" s="230"/>
      <c r="K49" s="210"/>
      <c r="L49" s="230"/>
      <c r="M49" s="210"/>
      <c r="N49" s="230"/>
      <c r="O49" s="210"/>
      <c r="P49" s="230"/>
      <c r="Q49" s="210"/>
      <c r="R49" s="230"/>
      <c r="S49" s="210"/>
      <c r="T49" s="230"/>
      <c r="U49" s="210"/>
      <c r="V49" s="230"/>
      <c r="W49" s="210"/>
      <c r="X49" s="230"/>
      <c r="Y49" s="210"/>
      <c r="Z49" s="230"/>
      <c r="AA49" s="210"/>
      <c r="AB49" s="230"/>
      <c r="AC49" s="210"/>
      <c r="AD49" s="230"/>
      <c r="AE49" s="210"/>
      <c r="AF49" s="230"/>
      <c r="AG49" s="210"/>
      <c r="AH49" s="230"/>
      <c r="AI49" s="210"/>
      <c r="AJ49" s="230"/>
      <c r="AK49" s="210"/>
    </row>
    <row r="50" spans="1:41" x14ac:dyDescent="0.35">
      <c r="G50" s="144" t="str">
        <f>G24</f>
        <v>ELEMENTS (PRN)</v>
      </c>
      <c r="I50" s="210"/>
      <c r="J50" s="230"/>
      <c r="K50" s="210"/>
      <c r="L50" s="230"/>
      <c r="M50" s="210"/>
      <c r="N50" s="230"/>
      <c r="O50" s="210"/>
      <c r="P50" s="230"/>
      <c r="Q50" s="210"/>
      <c r="R50" s="230"/>
      <c r="S50" s="210"/>
      <c r="T50" s="230"/>
      <c r="U50" s="210"/>
      <c r="V50" s="230"/>
      <c r="W50" s="210"/>
      <c r="X50" s="230"/>
      <c r="Y50" s="210"/>
      <c r="Z50" s="230"/>
      <c r="AA50" s="210"/>
      <c r="AB50" s="230"/>
      <c r="AC50" s="210"/>
      <c r="AD50" s="230"/>
      <c r="AE50" s="210"/>
      <c r="AF50" s="230"/>
      <c r="AG50" s="210"/>
      <c r="AH50" s="230"/>
      <c r="AI50" s="210"/>
      <c r="AJ50" s="230"/>
      <c r="AK50" s="210"/>
    </row>
    <row r="51" spans="1:41" x14ac:dyDescent="0.35">
      <c r="A51" s="168">
        <f t="shared" ref="A51:A56" si="45">+A25</f>
        <v>72</v>
      </c>
      <c r="B51" s="169"/>
      <c r="C51" s="174">
        <f t="shared" ref="C51:C56" si="46">+C25</f>
        <v>1</v>
      </c>
      <c r="D51" s="171"/>
      <c r="E51" s="168" t="str">
        <f t="shared" ref="E51:E56" si="47">+E25</f>
        <v>x</v>
      </c>
      <c r="F51" s="169"/>
      <c r="G51" s="169" t="str">
        <f t="shared" ref="G51:G56" si="48">+G25</f>
        <v>x</v>
      </c>
      <c r="H51" s="169"/>
      <c r="I51" s="174">
        <f>FV($U$6,AY$9,,-$S$25,0)</f>
        <v>1.5579674166007644</v>
      </c>
      <c r="J51" s="174"/>
      <c r="K51" s="174">
        <f>FV($U$6,I$35,,-$S$25,0)</f>
        <v>1.6047064390987871</v>
      </c>
      <c r="L51" s="174"/>
      <c r="M51" s="174">
        <f>FV($U$6,K$35,,-$S$25,0)</f>
        <v>1.6528476322717507</v>
      </c>
      <c r="N51" s="174"/>
      <c r="O51" s="174">
        <f>FV($U$6,M$35,,-$S$25,0)</f>
        <v>1.7024330612399032</v>
      </c>
      <c r="P51" s="174"/>
      <c r="Q51" s="174">
        <f>FV($U$6,O$35,,-$S$25,0)</f>
        <v>1.7535060530771003</v>
      </c>
      <c r="R51" s="174"/>
      <c r="S51" s="174">
        <f>FV($U$6,Q$35,,-$S$25,0)</f>
        <v>1.8061112346694133</v>
      </c>
      <c r="T51" s="174"/>
      <c r="U51" s="174">
        <f>FV($U$6,S$35,,-$S$25,0)</f>
        <v>1.8602945717094954</v>
      </c>
      <c r="V51" s="174"/>
      <c r="W51" s="174">
        <f>FV($U$6,U$35,,-$S$25,0)</f>
        <v>1.9161034088607805</v>
      </c>
      <c r="X51" s="174"/>
      <c r="Y51" s="174">
        <f>FV($U$6,W$35,,-$S$25,0)</f>
        <v>1.973586511126604</v>
      </c>
      <c r="Z51" s="174"/>
      <c r="AA51" s="174">
        <f>FV($U$6,Y$35,,-$S$25,0)</f>
        <v>2.0327941064604018</v>
      </c>
      <c r="AB51" s="174"/>
      <c r="AC51" s="174">
        <f>FV($U$6,AA$35,,-$S$25,0)</f>
        <v>2.0937779296542138</v>
      </c>
      <c r="AD51" s="174"/>
      <c r="AE51" s="174">
        <f>FV($U$6,AC$35,,-$S$25,0)</f>
        <v>2.1565912675438406</v>
      </c>
      <c r="AF51" s="174"/>
      <c r="AG51" s="174">
        <f>FV($U$6,AE$35,,-$S$25,0)</f>
        <v>2.2212890055701555</v>
      </c>
      <c r="AH51" s="174"/>
      <c r="AI51" s="174">
        <f>FV($U$6,AG$35,,-$S$25,0)</f>
        <v>2.2879276757372602</v>
      </c>
      <c r="AJ51" s="174"/>
      <c r="AK51" s="174">
        <f>FV($U$6,AI$35,,-$S$25,0)</f>
        <v>2.3565655060093778</v>
      </c>
    </row>
    <row r="52" spans="1:41" x14ac:dyDescent="0.35">
      <c r="A52" s="168">
        <f t="shared" si="45"/>
        <v>73</v>
      </c>
      <c r="B52" s="169"/>
      <c r="C52" s="174">
        <f t="shared" si="46"/>
        <v>1</v>
      </c>
      <c r="D52" s="171"/>
      <c r="E52" s="168" t="str">
        <f t="shared" si="47"/>
        <v>x</v>
      </c>
      <c r="F52" s="169"/>
      <c r="G52" s="169" t="str">
        <f t="shared" si="48"/>
        <v>x</v>
      </c>
      <c r="H52" s="169"/>
      <c r="I52" s="174">
        <f>FV($U$6,AY$9,,-$S$26,0)</f>
        <v>1.5579674166007644</v>
      </c>
      <c r="J52" s="174"/>
      <c r="K52" s="174">
        <f>FV($U$6,I$35,,-$S$26,0)</f>
        <v>1.6047064390987871</v>
      </c>
      <c r="L52" s="174"/>
      <c r="M52" s="174">
        <f>FV($U$6,K$35,,-$S$26,0)</f>
        <v>1.6528476322717507</v>
      </c>
      <c r="N52" s="174"/>
      <c r="O52" s="174">
        <f>FV($U$6,M$35,,-$S$26,0)</f>
        <v>1.7024330612399032</v>
      </c>
      <c r="P52" s="174"/>
      <c r="Q52" s="174">
        <f>FV($U$6,O$35,,-$S$26,0)</f>
        <v>1.7535060530771003</v>
      </c>
      <c r="R52" s="174"/>
      <c r="S52" s="174">
        <f>FV($U$6,Q$35,,-$S$26,0)</f>
        <v>1.8061112346694133</v>
      </c>
      <c r="T52" s="174"/>
      <c r="U52" s="174">
        <f>FV($U$6,S$35,,-$S$26,0)</f>
        <v>1.8602945717094954</v>
      </c>
      <c r="V52" s="174"/>
      <c r="W52" s="174">
        <f>FV($U$6,U$35,,-$S$26,0)</f>
        <v>1.9161034088607805</v>
      </c>
      <c r="X52" s="174"/>
      <c r="Y52" s="174">
        <f>FV($U$6,W$35,,-$S$26,0)</f>
        <v>1.973586511126604</v>
      </c>
      <c r="Z52" s="174"/>
      <c r="AA52" s="174">
        <f>FV($U$6,Y$35,,-$S$26,0)</f>
        <v>2.0327941064604018</v>
      </c>
      <c r="AB52" s="174"/>
      <c r="AC52" s="174">
        <f>FV($U$6,AA$35,,-$S$26,0)</f>
        <v>2.0937779296542138</v>
      </c>
      <c r="AD52" s="174"/>
      <c r="AE52" s="174">
        <f>FV($U$6,AC$35,,-$S$26,0)</f>
        <v>2.1565912675438406</v>
      </c>
      <c r="AF52" s="174"/>
      <c r="AG52" s="174">
        <f>FV($U$6,AE$35,,-$S$26,0)</f>
        <v>2.2212890055701555</v>
      </c>
      <c r="AH52" s="174"/>
      <c r="AI52" s="174">
        <f>FV($U$6,AG$35,,-$S$26,0)</f>
        <v>2.2879276757372602</v>
      </c>
      <c r="AJ52" s="174"/>
      <c r="AK52" s="174">
        <f>FV($U$6,AI$35,,-$S$26,0)</f>
        <v>2.3565655060093778</v>
      </c>
    </row>
    <row r="53" spans="1:41" x14ac:dyDescent="0.35">
      <c r="A53" s="168">
        <f t="shared" si="45"/>
        <v>74</v>
      </c>
      <c r="B53" s="169"/>
      <c r="C53" s="174">
        <f t="shared" si="46"/>
        <v>1</v>
      </c>
      <c r="D53" s="171"/>
      <c r="E53" s="168" t="str">
        <f t="shared" si="47"/>
        <v>x</v>
      </c>
      <c r="F53" s="169"/>
      <c r="G53" s="169" t="str">
        <f t="shared" si="48"/>
        <v>x</v>
      </c>
      <c r="H53" s="169"/>
      <c r="I53" s="174">
        <f>FV($U$6,AY$9,,-$S$27,0)</f>
        <v>1.5579674166007644</v>
      </c>
      <c r="J53" s="174"/>
      <c r="K53" s="174">
        <f>FV($U$6,I$35,,-$S$27,0)</f>
        <v>1.6047064390987871</v>
      </c>
      <c r="L53" s="174"/>
      <c r="M53" s="174">
        <f>FV($U$6,K$35,,-$S$27,0)</f>
        <v>1.6528476322717507</v>
      </c>
      <c r="N53" s="174"/>
      <c r="O53" s="174">
        <f>FV($U$6,M$35,,-$S$27,0)</f>
        <v>1.7024330612399032</v>
      </c>
      <c r="P53" s="174"/>
      <c r="Q53" s="174">
        <f>FV($U$6,O$35,,-$S$27,0)</f>
        <v>1.7535060530771003</v>
      </c>
      <c r="R53" s="174"/>
      <c r="S53" s="174">
        <f>FV($U$6,Q$35,,-$S$27,0)</f>
        <v>1.8061112346694133</v>
      </c>
      <c r="T53" s="174"/>
      <c r="U53" s="174">
        <f>FV($U$6,S$35,,-$S$27,0)</f>
        <v>1.8602945717094954</v>
      </c>
      <c r="V53" s="174"/>
      <c r="W53" s="174">
        <f>FV($U$6,U$35,,-$S$27,0)</f>
        <v>1.9161034088607805</v>
      </c>
      <c r="X53" s="174"/>
      <c r="Y53" s="174">
        <f>FV($U$6,W$35,,-$S$27,0)</f>
        <v>1.973586511126604</v>
      </c>
      <c r="Z53" s="174"/>
      <c r="AA53" s="174">
        <f>FV($U$6,Y$35,,-$S$27,0)</f>
        <v>2.0327941064604018</v>
      </c>
      <c r="AB53" s="174"/>
      <c r="AC53" s="174">
        <f>FV($U$6,AA$35,,-$S$27,0)</f>
        <v>2.0937779296542138</v>
      </c>
      <c r="AD53" s="174"/>
      <c r="AE53" s="174">
        <f>FV($U$6,AC$35,,-$S$27,0)</f>
        <v>2.1565912675438406</v>
      </c>
      <c r="AF53" s="174"/>
      <c r="AG53" s="174">
        <f>FV($U$6,AE$35,,-$S$27,0)</f>
        <v>2.2212890055701555</v>
      </c>
      <c r="AH53" s="174"/>
      <c r="AI53" s="174">
        <f>FV($U$6,AG$35,,-$S$27,0)</f>
        <v>2.2879276757372602</v>
      </c>
      <c r="AJ53" s="174"/>
      <c r="AK53" s="174">
        <f>FV($U$6,AI$35,,-$S$27,0)</f>
        <v>2.3565655060093778</v>
      </c>
    </row>
    <row r="54" spans="1:41" x14ac:dyDescent="0.35">
      <c r="A54" s="180">
        <f t="shared" si="45"/>
        <v>75</v>
      </c>
      <c r="B54" s="181"/>
      <c r="C54" s="185">
        <f t="shared" si="46"/>
        <v>1</v>
      </c>
      <c r="D54" s="183"/>
      <c r="E54" s="180" t="str">
        <f t="shared" si="47"/>
        <v>x</v>
      </c>
      <c r="F54" s="181"/>
      <c r="G54" s="181" t="str">
        <f t="shared" si="48"/>
        <v>x</v>
      </c>
      <c r="H54" s="181"/>
      <c r="I54" s="185">
        <f>FV($U$6,AY$9,,-$S$28,0)</f>
        <v>1.5579674166007644</v>
      </c>
      <c r="J54" s="185"/>
      <c r="K54" s="185">
        <f>FV($U$6,I$35,,-$S$28,0)</f>
        <v>1.6047064390987871</v>
      </c>
      <c r="L54" s="185"/>
      <c r="M54" s="185">
        <f>FV($U$6,K$35,,-$S$28,0)</f>
        <v>1.6528476322717507</v>
      </c>
      <c r="N54" s="185"/>
      <c r="O54" s="185">
        <f>FV($U$6,M$35,,-$S$28,0)</f>
        <v>1.7024330612399032</v>
      </c>
      <c r="P54" s="185"/>
      <c r="Q54" s="185">
        <f>FV($U$6,O$35,,-$S$28,0)</f>
        <v>1.7535060530771003</v>
      </c>
      <c r="R54" s="185"/>
      <c r="S54" s="185">
        <f>FV($U$6,Q$35,,-$S$28,0)</f>
        <v>1.8061112346694133</v>
      </c>
      <c r="T54" s="185"/>
      <c r="U54" s="185">
        <f>FV($U$6,S$35,,-$S$28,0)</f>
        <v>1.8602945717094954</v>
      </c>
      <c r="V54" s="185"/>
      <c r="W54" s="185">
        <f>FV($U$6,U$35,,-$S$28,0)</f>
        <v>1.9161034088607805</v>
      </c>
      <c r="X54" s="185"/>
      <c r="Y54" s="185">
        <f>FV($U$6,W$35,,-$S$28,0)</f>
        <v>1.973586511126604</v>
      </c>
      <c r="Z54" s="185"/>
      <c r="AA54" s="185">
        <f>FV($U$6,Y$35,,-$S$28,0)</f>
        <v>2.0327941064604018</v>
      </c>
      <c r="AB54" s="185"/>
      <c r="AC54" s="185">
        <f>FV($U$6,AA$35,,-$S$28,0)</f>
        <v>2.0937779296542138</v>
      </c>
      <c r="AD54" s="185"/>
      <c r="AE54" s="185">
        <f>FV($U$6,AC$35,,-$S$28,0)</f>
        <v>2.1565912675438406</v>
      </c>
      <c r="AF54" s="185"/>
      <c r="AG54" s="185">
        <f>FV($U$6,AE$35,,-$S$28,0)</f>
        <v>2.2212890055701555</v>
      </c>
      <c r="AH54" s="185"/>
      <c r="AI54" s="185">
        <f>FV($U$6,AG$35,,-$S$28,0)</f>
        <v>2.2879276757372602</v>
      </c>
      <c r="AJ54" s="185"/>
      <c r="AK54" s="185">
        <f>FV($U$6,AI$35,,-$S$28,0)</f>
        <v>2.3565655060093778</v>
      </c>
    </row>
    <row r="55" spans="1:41" x14ac:dyDescent="0.35">
      <c r="A55" s="180">
        <f t="shared" si="45"/>
        <v>76</v>
      </c>
      <c r="B55" s="181"/>
      <c r="C55" s="185">
        <f t="shared" si="46"/>
        <v>1</v>
      </c>
      <c r="D55" s="183"/>
      <c r="E55" s="180" t="str">
        <f t="shared" si="47"/>
        <v>x</v>
      </c>
      <c r="F55" s="181"/>
      <c r="G55" s="181" t="str">
        <f t="shared" si="48"/>
        <v>x</v>
      </c>
      <c r="H55" s="181"/>
      <c r="I55" s="185">
        <f>FV($U$6,AY$9,,-$S$29,0)</f>
        <v>1.5579674166007644</v>
      </c>
      <c r="J55" s="185"/>
      <c r="K55" s="185">
        <f>FV($U$6,I$35,,-$S$29,0)</f>
        <v>1.6047064390987871</v>
      </c>
      <c r="L55" s="185"/>
      <c r="M55" s="185">
        <f>FV($U$6,K$35,,-$S$29,0)</f>
        <v>1.6528476322717507</v>
      </c>
      <c r="N55" s="185"/>
      <c r="O55" s="185">
        <f>FV($U$6,M$35,,-$S$29,0)</f>
        <v>1.7024330612399032</v>
      </c>
      <c r="P55" s="185"/>
      <c r="Q55" s="185">
        <f>FV($U$6,O$35,,-$S$29,0)</f>
        <v>1.7535060530771003</v>
      </c>
      <c r="R55" s="185"/>
      <c r="S55" s="185">
        <f>FV($U$6,Q$35,,-$S$29,0)</f>
        <v>1.8061112346694133</v>
      </c>
      <c r="T55" s="185"/>
      <c r="U55" s="185">
        <f>FV($U$6,S$35,,-$S$29,0)</f>
        <v>1.8602945717094954</v>
      </c>
      <c r="V55" s="185"/>
      <c r="W55" s="185">
        <f>FV($U$6,U$35,,-$S$29,0)</f>
        <v>1.9161034088607805</v>
      </c>
      <c r="X55" s="185"/>
      <c r="Y55" s="185">
        <f>FV($U$6,W$35,,-$S$29,0)</f>
        <v>1.973586511126604</v>
      </c>
      <c r="Z55" s="185"/>
      <c r="AA55" s="185">
        <f>FV($U$6,Y$35,,-$S$29,0)</f>
        <v>2.0327941064604018</v>
      </c>
      <c r="AB55" s="185"/>
      <c r="AC55" s="185">
        <f>FV($U$6,AA$35,,-$S$29,0)</f>
        <v>2.0937779296542138</v>
      </c>
      <c r="AD55" s="185"/>
      <c r="AE55" s="185">
        <f>FV($U$6,AC$35,,-$S$29,0)</f>
        <v>2.1565912675438406</v>
      </c>
      <c r="AF55" s="185"/>
      <c r="AG55" s="185">
        <f>FV($U$6,AE$35,,-$S$29,0)</f>
        <v>2.2212890055701555</v>
      </c>
      <c r="AH55" s="185"/>
      <c r="AI55" s="185">
        <f>FV($U$6,AG$35,,-$S$29,0)</f>
        <v>2.2879276757372602</v>
      </c>
      <c r="AJ55" s="185"/>
      <c r="AK55" s="185">
        <f>FV($U$6,AI$35,,-$S$29,0)</f>
        <v>2.3565655060093778</v>
      </c>
    </row>
    <row r="56" spans="1:41" x14ac:dyDescent="0.35">
      <c r="A56" s="180">
        <f t="shared" si="45"/>
        <v>77</v>
      </c>
      <c r="B56" s="181"/>
      <c r="C56" s="185">
        <f t="shared" si="46"/>
        <v>1</v>
      </c>
      <c r="D56" s="183"/>
      <c r="E56" s="180" t="str">
        <f t="shared" si="47"/>
        <v>x</v>
      </c>
      <c r="F56" s="181"/>
      <c r="G56" s="181" t="str">
        <f t="shared" si="48"/>
        <v>x</v>
      </c>
      <c r="H56" s="181"/>
      <c r="I56" s="185">
        <f>FV($U$6,AY$9,,-$S$30,0)</f>
        <v>1.5579674166007644</v>
      </c>
      <c r="J56" s="185"/>
      <c r="K56" s="185">
        <f>FV($U$6,I$35,,-$S$30,0)</f>
        <v>1.6047064390987871</v>
      </c>
      <c r="L56" s="185"/>
      <c r="M56" s="185">
        <f>FV($U$6,K$35,,-$S$30,0)</f>
        <v>1.6528476322717507</v>
      </c>
      <c r="N56" s="185"/>
      <c r="O56" s="185">
        <f>FV($U$6,M$35,,-$S$30,0)</f>
        <v>1.7024330612399032</v>
      </c>
      <c r="P56" s="185"/>
      <c r="Q56" s="185">
        <f>FV($U$6,O$35,,-$S$30,0)</f>
        <v>1.7535060530771003</v>
      </c>
      <c r="R56" s="185"/>
      <c r="S56" s="185">
        <f>FV($U$6,Q$35,,-$S$30,0)</f>
        <v>1.8061112346694133</v>
      </c>
      <c r="T56" s="185"/>
      <c r="U56" s="185">
        <f>FV($U$6,S$35,,-$S$30,0)</f>
        <v>1.8602945717094954</v>
      </c>
      <c r="V56" s="185"/>
      <c r="W56" s="185">
        <f>FV($U$6,U$35,,-$S$30,0)</f>
        <v>1.9161034088607805</v>
      </c>
      <c r="X56" s="185"/>
      <c r="Y56" s="185">
        <f>FV($U$6,W$35,,-$S$30,0)</f>
        <v>1.973586511126604</v>
      </c>
      <c r="Z56" s="185"/>
      <c r="AA56" s="185">
        <f>FV($U$6,Y$35,,-$S$30,0)</f>
        <v>2.0327941064604018</v>
      </c>
      <c r="AB56" s="185"/>
      <c r="AC56" s="185">
        <f>FV($U$6,AA$35,,-$S$30,0)</f>
        <v>2.0937779296542138</v>
      </c>
      <c r="AD56" s="185"/>
      <c r="AE56" s="185">
        <f>FV($U$6,AC$35,,-$S$30,0)</f>
        <v>2.1565912675438406</v>
      </c>
      <c r="AF56" s="185"/>
      <c r="AG56" s="185">
        <f>FV($U$6,AE$35,,-$S$30,0)</f>
        <v>2.2212890055701555</v>
      </c>
      <c r="AH56" s="185"/>
      <c r="AI56" s="185">
        <f>FV($U$6,AG$35,,-$S$30,0)</f>
        <v>2.2879276757372602</v>
      </c>
      <c r="AJ56" s="185"/>
      <c r="AK56" s="185">
        <f>FV($U$6,AI$35,,-$S$30,0)</f>
        <v>2.3565655060093778</v>
      </c>
    </row>
    <row r="57" spans="1:41" ht="9.9499999999999993" customHeight="1" x14ac:dyDescent="0.35">
      <c r="C57" s="135"/>
      <c r="I57" s="215"/>
      <c r="J57" s="210"/>
      <c r="K57" s="215"/>
      <c r="L57" s="210"/>
      <c r="M57" s="215"/>
      <c r="N57" s="210"/>
      <c r="O57" s="215"/>
      <c r="P57" s="210"/>
      <c r="Q57" s="215"/>
      <c r="R57" s="210"/>
      <c r="S57" s="215"/>
      <c r="T57" s="210"/>
      <c r="U57" s="215"/>
      <c r="V57" s="210"/>
      <c r="W57" s="215"/>
      <c r="X57" s="210"/>
      <c r="Y57" s="215"/>
      <c r="Z57" s="210"/>
      <c r="AA57" s="215"/>
      <c r="AB57" s="210"/>
      <c r="AC57" s="215"/>
      <c r="AD57" s="210"/>
      <c r="AE57" s="215"/>
      <c r="AF57" s="210"/>
      <c r="AG57" s="215"/>
      <c r="AH57" s="210"/>
      <c r="AI57" s="215"/>
      <c r="AJ57" s="210"/>
      <c r="AK57" s="215"/>
    </row>
    <row r="58" spans="1:41" ht="24" thickBot="1" x14ac:dyDescent="0.4">
      <c r="C58" s="135"/>
      <c r="G58" s="141" t="str">
        <f>+G32</f>
        <v>Anticipated Expenditures, By Year</v>
      </c>
      <c r="I58" s="216">
        <f>SUM(I40:I57)</f>
        <v>9.347804499604587</v>
      </c>
      <c r="J58" s="217"/>
      <c r="K58" s="216">
        <f>SUM(K40:K57)</f>
        <v>9.6282386345927229</v>
      </c>
      <c r="L58" s="217"/>
      <c r="M58" s="216">
        <f>SUM(M40:M57)</f>
        <v>9.9170857936305037</v>
      </c>
      <c r="N58" s="217"/>
      <c r="O58" s="216">
        <f>SUM(O40:O57)</f>
        <v>10.21459836743942</v>
      </c>
      <c r="P58" s="217"/>
      <c r="Q58" s="216">
        <f>SUM(Q40:Q57)</f>
        <v>10.521036318462601</v>
      </c>
      <c r="R58" s="217"/>
      <c r="S58" s="216">
        <f>SUM(S40:S57)</f>
        <v>10.836667408016478</v>
      </c>
      <c r="T58" s="217"/>
      <c r="U58" s="216">
        <f>SUM(U40:U57)</f>
        <v>11.161767430256972</v>
      </c>
      <c r="V58" s="217"/>
      <c r="W58" s="216">
        <f>SUM(W40:W57)</f>
        <v>11.496620453164685</v>
      </c>
      <c r="X58" s="217"/>
      <c r="Y58" s="216">
        <f>SUM(Y40:Y57)</f>
        <v>11.841519066759624</v>
      </c>
      <c r="Z58" s="217"/>
      <c r="AA58" s="216">
        <f>SUM(AA40:AA57)</f>
        <v>12.196764638762412</v>
      </c>
      <c r="AB58" s="217"/>
      <c r="AC58" s="216">
        <f>SUM(AC40:AC57)</f>
        <v>12.562667577925284</v>
      </c>
      <c r="AD58" s="217"/>
      <c r="AE58" s="216">
        <f>SUM(AE40:AE57)</f>
        <v>12.939547605263042</v>
      </c>
      <c r="AF58" s="217"/>
      <c r="AG58" s="216">
        <f>SUM(AG40:AG57)</f>
        <v>13.327734033420935</v>
      </c>
      <c r="AH58" s="217"/>
      <c r="AI58" s="216">
        <f>SUM(AI40:AI57)</f>
        <v>13.72756605442356</v>
      </c>
      <c r="AJ58" s="217"/>
      <c r="AK58" s="216">
        <f>SUM(AK40:AK57)</f>
        <v>14.139393036056267</v>
      </c>
      <c r="AL58" s="178"/>
      <c r="AM58" s="178"/>
      <c r="AO58" s="178"/>
    </row>
    <row r="59" spans="1:41" ht="24" thickTop="1" x14ac:dyDescent="0.35">
      <c r="C59" s="135"/>
      <c r="I59" s="178"/>
      <c r="J59" s="178"/>
      <c r="K59" s="178"/>
      <c r="L59" s="178"/>
      <c r="M59" s="178"/>
      <c r="N59" s="178"/>
      <c r="O59" s="178"/>
      <c r="P59" s="178"/>
      <c r="Q59" s="178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</row>
    <row r="60" spans="1:41" x14ac:dyDescent="0.35">
      <c r="C60" s="135"/>
      <c r="I60" s="178"/>
      <c r="J60" s="178"/>
      <c r="K60" s="178"/>
      <c r="L60" s="178"/>
      <c r="M60" s="178"/>
      <c r="N60" s="178"/>
      <c r="O60" s="178"/>
      <c r="P60" s="178"/>
      <c r="Q60" s="178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</row>
    <row r="61" spans="1:41" x14ac:dyDescent="0.35">
      <c r="C61" s="135"/>
      <c r="I61" s="178"/>
      <c r="J61" s="178"/>
      <c r="K61" s="178"/>
      <c r="L61" s="178"/>
      <c r="M61" s="178"/>
      <c r="N61" s="178"/>
      <c r="O61" s="178"/>
      <c r="P61" s="178"/>
      <c r="Q61" s="178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</row>
    <row r="62" spans="1:41" x14ac:dyDescent="0.35">
      <c r="C62" s="135"/>
      <c r="I62" s="178"/>
      <c r="J62" s="178"/>
      <c r="K62" s="178"/>
      <c r="L62" s="178"/>
      <c r="M62" s="178"/>
      <c r="N62" s="178"/>
      <c r="O62" s="178"/>
      <c r="P62" s="178"/>
      <c r="Q62" s="178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</row>
    <row r="63" spans="1:41" x14ac:dyDescent="0.35">
      <c r="C63" s="135"/>
      <c r="I63" s="178"/>
      <c r="J63" s="178"/>
      <c r="K63" s="178"/>
      <c r="L63" s="178"/>
      <c r="M63" s="178"/>
      <c r="N63" s="178"/>
      <c r="O63" s="178"/>
      <c r="P63" s="178"/>
      <c r="Q63" s="178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</row>
    <row r="64" spans="1:41" x14ac:dyDescent="0.35">
      <c r="C64" s="135"/>
      <c r="I64" s="178"/>
      <c r="J64" s="178"/>
      <c r="K64" s="178"/>
      <c r="L64" s="178"/>
      <c r="M64" s="178"/>
      <c r="N64" s="178"/>
      <c r="O64" s="178"/>
      <c r="P64" s="178"/>
      <c r="Q64" s="178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</row>
    <row r="65" spans="3:37" x14ac:dyDescent="0.35">
      <c r="C65" s="135"/>
      <c r="I65" s="178"/>
      <c r="J65" s="178"/>
      <c r="K65" s="178"/>
      <c r="L65" s="178"/>
      <c r="M65" s="178"/>
      <c r="N65" s="178"/>
      <c r="O65" s="178"/>
      <c r="P65" s="178"/>
      <c r="Q65" s="178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</row>
    <row r="66" spans="3:37" x14ac:dyDescent="0.35">
      <c r="C66" s="135"/>
      <c r="I66" s="178"/>
      <c r="J66" s="178"/>
      <c r="K66" s="178"/>
      <c r="L66" s="178"/>
      <c r="M66" s="178"/>
      <c r="N66" s="178"/>
      <c r="O66" s="178"/>
      <c r="P66" s="178"/>
      <c r="Q66" s="178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</row>
    <row r="67" spans="3:37" x14ac:dyDescent="0.35">
      <c r="C67" s="135"/>
      <c r="I67" s="178"/>
      <c r="J67" s="178"/>
      <c r="K67" s="178"/>
      <c r="L67" s="178"/>
      <c r="M67" s="178"/>
      <c r="N67" s="178"/>
      <c r="O67" s="178"/>
      <c r="P67" s="178"/>
      <c r="Q67" s="178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07"/>
      <c r="AK67" s="207"/>
    </row>
    <row r="68" spans="3:37" x14ac:dyDescent="0.35">
      <c r="C68" s="135"/>
      <c r="I68" s="178"/>
      <c r="J68" s="178"/>
      <c r="K68" s="178"/>
      <c r="L68" s="178"/>
      <c r="M68" s="178"/>
      <c r="N68" s="178"/>
      <c r="O68" s="178"/>
      <c r="P68" s="178"/>
      <c r="Q68" s="178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  <c r="AK68" s="207"/>
    </row>
    <row r="69" spans="3:37" x14ac:dyDescent="0.35">
      <c r="C69" s="135"/>
      <c r="I69" s="178"/>
      <c r="J69" s="178"/>
      <c r="K69" s="178"/>
      <c r="L69" s="178"/>
      <c r="M69" s="178"/>
      <c r="N69" s="178"/>
      <c r="O69" s="178"/>
      <c r="P69" s="178"/>
      <c r="Q69" s="178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</row>
    <row r="70" spans="3:37" x14ac:dyDescent="0.35">
      <c r="C70" s="135"/>
      <c r="I70" s="178"/>
      <c r="J70" s="178"/>
      <c r="K70" s="178"/>
      <c r="L70" s="178"/>
      <c r="M70" s="178"/>
      <c r="N70" s="178"/>
      <c r="O70" s="178"/>
      <c r="P70" s="178"/>
      <c r="Q70" s="178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</row>
  </sheetData>
  <mergeCells count="8">
    <mergeCell ref="U9:U10"/>
    <mergeCell ref="A35:A36"/>
    <mergeCell ref="A9:A10"/>
    <mergeCell ref="I9:I10"/>
    <mergeCell ref="K9:M9"/>
    <mergeCell ref="O9:O10"/>
    <mergeCell ref="Q9:Q10"/>
    <mergeCell ref="S9:S10"/>
  </mergeCells>
  <pageMargins left="0.7" right="0.7" top="0.75" bottom="0.75" header="0.3" footer="0.3"/>
  <pageSetup scale="14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C12B-CF99-4FEC-8410-38F92BE3244E}">
  <dimension ref="A4:BG48"/>
  <sheetViews>
    <sheetView zoomScale="45" zoomScaleNormal="45" workbookViewId="0">
      <selection activeCell="AP31" sqref="AP31"/>
    </sheetView>
  </sheetViews>
  <sheetFormatPr defaultRowHeight="15" x14ac:dyDescent="0.25"/>
  <cols>
    <col min="2" max="2" width="1.7109375" customWidth="1"/>
    <col min="3" max="3" width="5" customWidth="1"/>
    <col min="6" max="6" width="10.7109375" customWidth="1"/>
    <col min="7" max="7" width="48.28515625" customWidth="1"/>
    <col min="8" max="8" width="1.7109375" customWidth="1"/>
    <col min="9" max="9" width="17.7109375" bestFit="1" customWidth="1"/>
    <col min="10" max="10" width="2" customWidth="1"/>
    <col min="11" max="11" width="19.5703125" bestFit="1" customWidth="1"/>
    <col min="12" max="12" width="2.28515625" customWidth="1"/>
    <col min="13" max="13" width="19.5703125" bestFit="1" customWidth="1"/>
    <col min="14" max="14" width="2.140625" customWidth="1"/>
    <col min="15" max="15" width="19.5703125" bestFit="1" customWidth="1"/>
    <col min="16" max="16" width="2" customWidth="1"/>
    <col min="17" max="17" width="19" customWidth="1"/>
    <col min="18" max="18" width="2.140625" customWidth="1"/>
    <col min="19" max="19" width="19.85546875" customWidth="1"/>
    <col min="20" max="20" width="1.5703125" customWidth="1"/>
    <col min="21" max="21" width="21.140625" customWidth="1"/>
    <col min="22" max="22" width="1.5703125" customWidth="1"/>
    <col min="23" max="23" width="19.5703125" bestFit="1" customWidth="1"/>
    <col min="24" max="24" width="2.140625" customWidth="1"/>
    <col min="25" max="25" width="19.5703125" bestFit="1" customWidth="1"/>
    <col min="26" max="26" width="1.85546875" customWidth="1"/>
    <col min="27" max="27" width="19.5703125" bestFit="1" customWidth="1"/>
    <col min="28" max="28" width="2.140625" customWidth="1"/>
    <col min="29" max="29" width="20" bestFit="1" customWidth="1"/>
    <col min="30" max="30" width="2" customWidth="1"/>
    <col min="31" max="31" width="20" bestFit="1" customWidth="1"/>
    <col min="32" max="32" width="2.42578125" customWidth="1"/>
    <col min="33" max="33" width="20" bestFit="1" customWidth="1"/>
    <col min="34" max="34" width="1.7109375" customWidth="1"/>
    <col min="35" max="35" width="20" bestFit="1" customWidth="1"/>
    <col min="36" max="36" width="2.140625" customWidth="1"/>
    <col min="37" max="37" width="20" bestFit="1" customWidth="1"/>
    <col min="38" max="38" width="1.85546875" customWidth="1"/>
    <col min="41" max="41" width="9.5703125" bestFit="1" customWidth="1"/>
  </cols>
  <sheetData>
    <row r="4" spans="1:59" ht="101.25" customHeight="1" x14ac:dyDescent="0.35">
      <c r="Q4" s="20" t="s">
        <v>10</v>
      </c>
      <c r="R4" s="20"/>
      <c r="S4" s="2"/>
      <c r="T4" s="2"/>
      <c r="U4" s="40"/>
      <c r="V4" s="40"/>
    </row>
    <row r="5" spans="1:59" s="2" customFormat="1" ht="23.25" x14ac:dyDescent="0.35">
      <c r="A5" s="40"/>
      <c r="C5" s="12"/>
      <c r="D5" s="12"/>
      <c r="E5" s="40"/>
      <c r="G5" s="8" t="s">
        <v>49</v>
      </c>
      <c r="I5" s="40"/>
      <c r="J5" s="40"/>
      <c r="K5" s="40"/>
      <c r="L5" s="40"/>
      <c r="M5" s="40"/>
      <c r="N5" s="40"/>
      <c r="O5" s="4"/>
      <c r="P5" s="4"/>
      <c r="Q5" s="24" t="s">
        <v>23</v>
      </c>
      <c r="R5" s="24"/>
      <c r="S5" s="58">
        <v>1111</v>
      </c>
      <c r="T5" s="26"/>
      <c r="U5" s="23" t="s">
        <v>92</v>
      </c>
      <c r="V5" s="23"/>
      <c r="W5" s="255"/>
      <c r="Y5" s="257">
        <v>2024</v>
      </c>
      <c r="AA5" s="255" t="s">
        <v>93</v>
      </c>
      <c r="AB5" s="255"/>
      <c r="AC5" s="255"/>
    </row>
    <row r="6" spans="1:59" s="2" customFormat="1" ht="23.25" x14ac:dyDescent="0.35">
      <c r="A6" s="40"/>
      <c r="B6" s="290"/>
      <c r="C6" s="291"/>
      <c r="D6" s="291"/>
      <c r="E6" s="40"/>
      <c r="G6" s="8"/>
      <c r="I6" s="40"/>
      <c r="J6" s="40"/>
      <c r="K6" s="40"/>
      <c r="L6" s="40"/>
      <c r="M6" s="40"/>
      <c r="N6" s="40"/>
      <c r="O6" s="4"/>
      <c r="P6" s="4"/>
      <c r="Q6" s="24" t="s">
        <v>24</v>
      </c>
      <c r="R6" s="24"/>
      <c r="S6" s="18" t="s">
        <v>40</v>
      </c>
      <c r="T6" s="18"/>
      <c r="U6" s="40"/>
      <c r="V6" s="40"/>
    </row>
    <row r="7" spans="1:59" s="2" customFormat="1" ht="23.25" x14ac:dyDescent="0.35">
      <c r="A7" s="40"/>
      <c r="B7" s="292"/>
      <c r="C7" s="293"/>
      <c r="D7" s="293"/>
      <c r="E7" s="40"/>
      <c r="G7" s="8" t="s">
        <v>14</v>
      </c>
      <c r="I7" s="40"/>
      <c r="J7" s="40"/>
      <c r="K7" s="37"/>
      <c r="L7" s="37"/>
      <c r="M7" s="40"/>
      <c r="N7" s="40"/>
      <c r="O7" s="4"/>
      <c r="P7" s="4"/>
      <c r="Q7" s="24" t="s">
        <v>25</v>
      </c>
      <c r="R7" s="24"/>
      <c r="S7" s="59">
        <v>5.0000000000000001E-3</v>
      </c>
      <c r="T7" s="25"/>
      <c r="U7" s="23" t="s">
        <v>27</v>
      </c>
      <c r="V7" s="23"/>
    </row>
    <row r="8" spans="1:59" s="2" customFormat="1" ht="23.25" x14ac:dyDescent="0.35">
      <c r="A8" s="40"/>
      <c r="C8" s="12"/>
      <c r="D8" s="3"/>
      <c r="E8" s="40"/>
      <c r="I8" s="40"/>
      <c r="J8" s="40"/>
      <c r="K8" s="40"/>
      <c r="L8" s="40"/>
      <c r="M8" s="40"/>
      <c r="N8" s="40"/>
      <c r="O8" s="4"/>
      <c r="P8" s="4"/>
      <c r="Q8" s="24" t="s">
        <v>26</v>
      </c>
      <c r="R8" s="24"/>
      <c r="S8" s="18" t="s">
        <v>82</v>
      </c>
      <c r="T8" s="18"/>
      <c r="U8" s="57"/>
      <c r="V8" s="23"/>
    </row>
    <row r="9" spans="1:59" s="2" customFormat="1" ht="23.25" x14ac:dyDescent="0.35">
      <c r="A9" s="40"/>
      <c r="C9" s="12"/>
      <c r="D9" s="3"/>
      <c r="E9" s="40"/>
      <c r="G9" s="55" t="s">
        <v>106</v>
      </c>
      <c r="I9" s="40"/>
      <c r="J9" s="40"/>
      <c r="K9" s="40"/>
      <c r="L9" s="40"/>
      <c r="M9" s="40"/>
      <c r="N9" s="40"/>
      <c r="O9" s="4"/>
      <c r="P9" s="4"/>
      <c r="Q9" s="24" t="s">
        <v>37</v>
      </c>
      <c r="R9" s="24"/>
      <c r="S9" s="2" t="s">
        <v>42</v>
      </c>
      <c r="U9" s="23"/>
      <c r="V9" s="23"/>
      <c r="AB9" s="255"/>
      <c r="AC9" s="255"/>
      <c r="AD9" s="255"/>
      <c r="AE9" s="56"/>
    </row>
    <row r="10" spans="1:59" s="2" customFormat="1" ht="23.25" x14ac:dyDescent="0.35">
      <c r="A10" s="40"/>
      <c r="C10" s="12"/>
      <c r="D10" s="3"/>
      <c r="E10" s="40"/>
      <c r="F10" s="6"/>
      <c r="G10" s="276" t="s">
        <v>105</v>
      </c>
      <c r="I10" s="40"/>
      <c r="J10" s="40"/>
      <c r="K10" s="40"/>
      <c r="L10" s="40"/>
      <c r="M10" s="40"/>
      <c r="N10" s="40"/>
      <c r="O10" s="4"/>
      <c r="P10" s="4"/>
      <c r="Q10" s="5"/>
      <c r="R10" s="5"/>
      <c r="S10" s="6"/>
      <c r="T10" s="6"/>
    </row>
    <row r="11" spans="1:59" s="2" customFormat="1" ht="23.25" x14ac:dyDescent="0.35">
      <c r="A11" s="40"/>
      <c r="C11" s="12"/>
      <c r="D11" s="3"/>
      <c r="E11" s="272"/>
      <c r="G11" s="275"/>
      <c r="I11" s="7">
        <v>1</v>
      </c>
      <c r="J11" s="7"/>
      <c r="K11" s="7">
        <v>2</v>
      </c>
      <c r="L11" s="7"/>
      <c r="M11" s="7">
        <v>3</v>
      </c>
      <c r="N11" s="7"/>
      <c r="O11" s="7">
        <v>4</v>
      </c>
      <c r="P11" s="7"/>
      <c r="Q11" s="7">
        <v>5</v>
      </c>
      <c r="R11" s="7"/>
      <c r="S11" s="7">
        <v>6</v>
      </c>
      <c r="T11" s="7"/>
      <c r="U11" s="7">
        <v>7</v>
      </c>
      <c r="V11" s="7"/>
      <c r="W11" s="7">
        <v>8</v>
      </c>
      <c r="X11" s="7"/>
      <c r="Y11" s="7">
        <v>9</v>
      </c>
      <c r="Z11" s="7"/>
      <c r="AA11" s="7">
        <v>10</v>
      </c>
      <c r="AB11" s="7"/>
      <c r="AC11" s="7">
        <v>11</v>
      </c>
      <c r="AD11" s="7"/>
      <c r="AE11" s="7">
        <v>12</v>
      </c>
      <c r="AF11" s="7"/>
      <c r="AG11" s="7">
        <v>13</v>
      </c>
      <c r="AH11" s="7"/>
      <c r="AI11" s="7">
        <v>14</v>
      </c>
      <c r="AJ11" s="7"/>
      <c r="AK11" s="7">
        <v>15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0"/>
      <c r="AW11" s="10"/>
      <c r="AX11" s="10"/>
      <c r="AY11" s="10"/>
      <c r="AZ11" s="10"/>
      <c r="BA11" s="10"/>
    </row>
    <row r="12" spans="1:59" s="2" customFormat="1" ht="23.25" x14ac:dyDescent="0.35">
      <c r="A12" s="9"/>
      <c r="B12" s="10"/>
      <c r="C12" s="27"/>
      <c r="D12" s="28"/>
      <c r="E12" s="9"/>
      <c r="F12" s="10"/>
      <c r="G12" s="10"/>
      <c r="H12" s="10"/>
      <c r="I12" s="232">
        <f>'Roofs 1'!X7</f>
        <v>2024</v>
      </c>
      <c r="J12" s="11"/>
      <c r="K12" s="11">
        <f>+I12+1</f>
        <v>2025</v>
      </c>
      <c r="L12" s="11"/>
      <c r="M12" s="11">
        <f>+K12+1</f>
        <v>2026</v>
      </c>
      <c r="N12" s="11"/>
      <c r="O12" s="11">
        <f>+M12+1</f>
        <v>2027</v>
      </c>
      <c r="P12" s="11"/>
      <c r="Q12" s="11">
        <f>+O12+1</f>
        <v>2028</v>
      </c>
      <c r="R12" s="11"/>
      <c r="S12" s="11">
        <f>+Q12+1</f>
        <v>2029</v>
      </c>
      <c r="T12" s="11"/>
      <c r="U12" s="11">
        <f>+S12+1</f>
        <v>2030</v>
      </c>
      <c r="V12" s="11"/>
      <c r="W12" s="11">
        <f>+U12+1</f>
        <v>2031</v>
      </c>
      <c r="X12" s="11"/>
      <c r="Y12" s="11">
        <f>+W12+1</f>
        <v>2032</v>
      </c>
      <c r="Z12" s="11"/>
      <c r="AA12" s="11">
        <f>+Y12+1</f>
        <v>2033</v>
      </c>
      <c r="AB12" s="11"/>
      <c r="AC12" s="11">
        <f>+AA12+1</f>
        <v>2034</v>
      </c>
      <c r="AD12" s="11"/>
      <c r="AE12" s="11">
        <f>+AC12+1</f>
        <v>2035</v>
      </c>
      <c r="AF12" s="11"/>
      <c r="AG12" s="11">
        <f>+AE12+1</f>
        <v>2036</v>
      </c>
      <c r="AH12" s="11"/>
      <c r="AI12" s="11">
        <f>+AG12+1</f>
        <v>2037</v>
      </c>
      <c r="AJ12" s="11"/>
      <c r="AK12" s="11">
        <f>+AI12+1</f>
        <v>2038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59" s="2" customFormat="1" ht="23.25" x14ac:dyDescent="0.35">
      <c r="A13" s="62"/>
      <c r="B13" s="63"/>
      <c r="C13" s="65" t="s">
        <v>15</v>
      </c>
      <c r="D13" s="64"/>
      <c r="E13" s="62"/>
      <c r="F13" s="63"/>
      <c r="G13" s="63"/>
      <c r="H13" s="66"/>
      <c r="I13" s="67">
        <f>+S5</f>
        <v>1111</v>
      </c>
      <c r="J13" s="67"/>
      <c r="K13" s="67" t="e">
        <f>I20</f>
        <v>#REF!</v>
      </c>
      <c r="L13" s="67"/>
      <c r="M13" s="67" t="e">
        <f>K20</f>
        <v>#REF!</v>
      </c>
      <c r="N13" s="67"/>
      <c r="O13" s="67" t="e">
        <f>M20</f>
        <v>#REF!</v>
      </c>
      <c r="P13" s="67"/>
      <c r="Q13" s="67" t="e">
        <f>O20</f>
        <v>#REF!</v>
      </c>
      <c r="R13" s="67"/>
      <c r="S13" s="67" t="e">
        <f>Q20</f>
        <v>#REF!</v>
      </c>
      <c r="T13" s="67"/>
      <c r="U13" s="67" t="e">
        <f>S20</f>
        <v>#REF!</v>
      </c>
      <c r="V13" s="67"/>
      <c r="W13" s="67" t="e">
        <f>U20</f>
        <v>#REF!</v>
      </c>
      <c r="X13" s="67"/>
      <c r="Y13" s="67" t="e">
        <f>W20</f>
        <v>#REF!</v>
      </c>
      <c r="Z13" s="67"/>
      <c r="AA13" s="67" t="e">
        <f>Y20</f>
        <v>#REF!</v>
      </c>
      <c r="AB13" s="67"/>
      <c r="AC13" s="67" t="e">
        <f>AA20</f>
        <v>#REF!</v>
      </c>
      <c r="AD13" s="67"/>
      <c r="AE13" s="67" t="e">
        <f>AC20</f>
        <v>#REF!</v>
      </c>
      <c r="AF13" s="67"/>
      <c r="AG13" s="67" t="e">
        <f>AE20</f>
        <v>#REF!</v>
      </c>
      <c r="AH13" s="67"/>
      <c r="AI13" s="67" t="e">
        <f>AG20</f>
        <v>#REF!</v>
      </c>
      <c r="AJ13" s="67"/>
      <c r="AK13" s="67" t="e">
        <f>AI20</f>
        <v>#REF!</v>
      </c>
      <c r="AL13" s="16"/>
      <c r="AM13" s="16"/>
    </row>
    <row r="14" spans="1:59" s="2" customFormat="1" ht="23.25" x14ac:dyDescent="0.35">
      <c r="A14" s="62" t="s">
        <v>19</v>
      </c>
      <c r="B14" s="63"/>
      <c r="C14" s="65" t="s">
        <v>20</v>
      </c>
      <c r="D14" s="64"/>
      <c r="E14" s="62"/>
      <c r="F14" s="63"/>
      <c r="G14" s="63"/>
      <c r="H14" s="63"/>
      <c r="I14" s="73">
        <v>2000</v>
      </c>
      <c r="J14" s="68"/>
      <c r="K14" s="68">
        <f>+I14*(1+K22)</f>
        <v>2029.9999999999998</v>
      </c>
      <c r="L14" s="68"/>
      <c r="M14" s="68">
        <f>+K14*(1+M22)</f>
        <v>2060.4499999999994</v>
      </c>
      <c r="N14" s="68"/>
      <c r="O14" s="68">
        <f>+M14*(1+O22)</f>
        <v>2091.356749999999</v>
      </c>
      <c r="P14" s="68"/>
      <c r="Q14" s="68">
        <f>+O14*(1+Q22)</f>
        <v>2122.7271012499987</v>
      </c>
      <c r="R14" s="68"/>
      <c r="S14" s="68">
        <f>+Q14*(1+S22)</f>
        <v>2154.5680077687484</v>
      </c>
      <c r="T14" s="68"/>
      <c r="U14" s="68">
        <f>+S14*(1+U22)</f>
        <v>2186.8865278852795</v>
      </c>
      <c r="V14" s="68"/>
      <c r="W14" s="68">
        <f>+U14*(1+W22)</f>
        <v>2219.6898258035585</v>
      </c>
      <c r="X14" s="68"/>
      <c r="Y14" s="68">
        <f>+W14*(1+Y22)</f>
        <v>2252.9851731906115</v>
      </c>
      <c r="Z14" s="68"/>
      <c r="AA14" s="68">
        <f>+Y14*(1+AA22)</f>
        <v>2286.7799507884706</v>
      </c>
      <c r="AB14" s="68"/>
      <c r="AC14" s="68">
        <f>+AA14*(1+AC22)</f>
        <v>2321.0816500502974</v>
      </c>
      <c r="AD14" s="68"/>
      <c r="AE14" s="68">
        <f>+AC14*(1+AE22)</f>
        <v>2355.8978748010518</v>
      </c>
      <c r="AF14" s="68"/>
      <c r="AG14" s="68">
        <f>+AE14*(1+AG22)</f>
        <v>2391.2363429230672</v>
      </c>
      <c r="AH14" s="68"/>
      <c r="AI14" s="68">
        <f>+AG14*(1+AI22)</f>
        <v>2427.1048880669132</v>
      </c>
      <c r="AJ14" s="68"/>
      <c r="AK14" s="68">
        <f>+AI14*(1+AK22)</f>
        <v>2463.5114613879168</v>
      </c>
      <c r="AL14" s="16"/>
      <c r="AM14" s="16"/>
    </row>
    <row r="15" spans="1:59" s="2" customFormat="1" ht="23.25" x14ac:dyDescent="0.35">
      <c r="A15" s="62" t="s">
        <v>19</v>
      </c>
      <c r="B15" s="63"/>
      <c r="C15" s="248" t="s">
        <v>94</v>
      </c>
      <c r="D15" s="249"/>
      <c r="E15" s="250"/>
      <c r="F15" s="251"/>
      <c r="G15" s="251"/>
      <c r="H15" s="63"/>
      <c r="I15" s="68">
        <v>0</v>
      </c>
      <c r="J15" s="68"/>
      <c r="K15" s="68">
        <v>0</v>
      </c>
      <c r="L15" s="68"/>
      <c r="M15" s="68">
        <v>0</v>
      </c>
      <c r="N15" s="68"/>
      <c r="O15" s="68">
        <v>0</v>
      </c>
      <c r="P15" s="68"/>
      <c r="Q15" s="68">
        <v>0</v>
      </c>
      <c r="R15" s="68"/>
      <c r="S15" s="68">
        <v>0</v>
      </c>
      <c r="T15" s="68"/>
      <c r="U15" s="68">
        <v>0</v>
      </c>
      <c r="V15" s="68"/>
      <c r="W15" s="68">
        <v>0</v>
      </c>
      <c r="X15" s="68"/>
      <c r="Y15" s="68">
        <v>0</v>
      </c>
      <c r="Z15" s="68"/>
      <c r="AA15" s="68">
        <v>0</v>
      </c>
      <c r="AB15" s="68"/>
      <c r="AC15" s="68">
        <v>0</v>
      </c>
      <c r="AD15" s="68"/>
      <c r="AE15" s="68">
        <v>0</v>
      </c>
      <c r="AF15" s="68"/>
      <c r="AG15" s="68">
        <v>0</v>
      </c>
      <c r="AH15" s="68"/>
      <c r="AI15" s="68">
        <v>0</v>
      </c>
      <c r="AJ15" s="68"/>
      <c r="AK15" s="68">
        <v>0</v>
      </c>
      <c r="AL15" s="16"/>
      <c r="AM15" s="16"/>
    </row>
    <row r="16" spans="1:59" s="2" customFormat="1" ht="23.25" x14ac:dyDescent="0.35">
      <c r="A16" s="40" t="s">
        <v>19</v>
      </c>
      <c r="C16" s="14" t="s">
        <v>34</v>
      </c>
      <c r="D16" s="3"/>
      <c r="E16" s="40"/>
      <c r="I16" s="21">
        <f>IF(-FV(($S$7/12),12,(I14/12),I13,0)-(I13+I14)&gt;0,-FV(($S$7/12),12,(I14/12),I13,0)-(I13+I14),0)</f>
        <v>10.157452951876621</v>
      </c>
      <c r="J16" s="21"/>
      <c r="K16" s="21" t="e">
        <f>IF(-FV(($S$7/12),12,(K14/12),K13,0)-(K13+K14)&gt;0,-FV(($S$7/12),12,(K14/12),K13,0)-(K13+K14),0)</f>
        <v>#REF!</v>
      </c>
      <c r="L16" s="21"/>
      <c r="M16" s="21" t="e">
        <f>IF(-FV(($S$7/12),12,(M14/12),M13,0)-(M13+M14)&gt;0,-FV(($S$7/12),12,(M14/12),M13,0)-(M13+M14),0)</f>
        <v>#REF!</v>
      </c>
      <c r="N16" s="21"/>
      <c r="O16" s="21" t="e">
        <f>IF(-FV(($S$7/12),12,(O14/12),O13,0)-(O13+O14)&gt;0,-FV(($S$7/12),12,(O14/12),O13,0)-(O13+O14),0)</f>
        <v>#REF!</v>
      </c>
      <c r="P16" s="21"/>
      <c r="Q16" s="21" t="e">
        <f>IF(-FV(($S$7/12),12,(Q14/12),Q13,0)-(Q13+Q14)&gt;0,-FV(($S$7/12),12,(Q14/12),Q13,0)-(Q13+Q14),0)</f>
        <v>#REF!</v>
      </c>
      <c r="R16" s="21"/>
      <c r="S16" s="21" t="e">
        <f>IF(-FV(($S$7/12),12,(S14/12),S13,0)-(S13+S14)&gt;0,-FV(($S$7/12),12,(S14/12),S13,0)-(S13+S14),0)</f>
        <v>#REF!</v>
      </c>
      <c r="T16" s="21"/>
      <c r="U16" s="21" t="e">
        <f>IF(-FV(($S$7/12),12,(U14/12),U13,0)-(U13+U14)&gt;0,-FV(($S$7/12),12,(U14/12),U13,0)-(U13+U14),0)</f>
        <v>#REF!</v>
      </c>
      <c r="V16" s="21"/>
      <c r="W16" s="21" t="e">
        <f>IF(-FV(($S$7/12),12,(W14/12),W13,0)-(W13+W14)&gt;0,-FV(($S$7/12),12,(W14/12),W13,0)-(W13+W14),0)</f>
        <v>#REF!</v>
      </c>
      <c r="X16" s="21"/>
      <c r="Y16" s="21" t="e">
        <f>IF(-FV(($S$7/12),12,(Y14/12),Y13,0)-(Y13+Y14)&gt;0,-FV(($S$7/12),12,(Y14/12),Y13,0)-(Y13+Y14),0)</f>
        <v>#REF!</v>
      </c>
      <c r="Z16" s="21"/>
      <c r="AA16" s="21" t="e">
        <f>IF(-FV(($S$7/12),12,(AA14/12),AA13,0)-(AA13+AA14)&gt;0,-FV(($S$7/12),12,(AA14/12),AA13,0)-(AA13+AA14),0)</f>
        <v>#REF!</v>
      </c>
      <c r="AB16" s="21"/>
      <c r="AC16" s="21" t="e">
        <f>IF(-FV(($S$7/12),12,(AC14/12),AC13,0)-(AC13+AC14)&gt;0,-FV(($S$7/12),12,(AC14/12),AC13,0)-(AC13+AC14),0)</f>
        <v>#REF!</v>
      </c>
      <c r="AD16" s="21"/>
      <c r="AE16" s="21" t="e">
        <f>IF(-FV(($S$7/12),12,(AE14/12),AE13,0)-(AE13+AE14)&gt;0,-FV(($S$7/12),12,(AE14/12),AE13,0)-(AE13+AE14),0)</f>
        <v>#REF!</v>
      </c>
      <c r="AF16" s="21"/>
      <c r="AG16" s="21" t="e">
        <f>IF(-FV(($S$7/12),12,(AG14/12),AG13,0)-(AG13+AG14)&gt;0,-FV(($S$7/12),12,(AG14/12),AG13,0)-(AG13+AG14),0)</f>
        <v>#REF!</v>
      </c>
      <c r="AH16" s="21"/>
      <c r="AI16" s="21" t="e">
        <f>IF(-FV(($S$7/12),12,(AI14/12),AI13,0)-(AI13+AI14)&gt;0,-FV(($S$7/12),12,(AI14/12),AI13,0)-(AI13+AI14),0)</f>
        <v>#REF!</v>
      </c>
      <c r="AJ16" s="21"/>
      <c r="AK16" s="21" t="e">
        <f>IF(-FV(($S$7/12),12,(AK14/12),AK13,0)-(AK13+AK14)&gt;0,-FV(($S$7/12),12,(AK14/12),AK13,0)-(AK13+AK14),0)</f>
        <v>#REF!</v>
      </c>
      <c r="AL16" s="16"/>
      <c r="AM16" s="16"/>
    </row>
    <row r="17" spans="1:39" s="2" customFormat="1" ht="23.25" x14ac:dyDescent="0.35">
      <c r="A17" s="40" t="s">
        <v>18</v>
      </c>
      <c r="C17" s="14" t="s">
        <v>7</v>
      </c>
      <c r="D17" s="3"/>
      <c r="E17" s="40"/>
      <c r="I17" s="233" t="e">
        <f>-SUM('Roofs 1'!X52+#REF!+#REF!+#REF!+'Maintain (PRN) 1'!W38+'Maintain (PRN) 2'!W38+'Combo 1'!W56+'Combo 2'!W32)</f>
        <v>#REF!</v>
      </c>
      <c r="K17" s="53" t="e">
        <f>-SUM('Roofs 1'!Z52+#REF!+#REF!+#REF!+'Maintain (PRN) 1'!Y38+'Maintain (PRN) 2'!Y38+'Combo 1'!Y56+'Combo 2'!Y32)</f>
        <v>#REF!</v>
      </c>
      <c r="M17" s="53" t="e">
        <f>-SUM('Roofs 1'!AB52+#REF!+#REF!+#REF!+'Maintain (PRN) 1'!AA38+'Maintain (PRN) 2'!AA38+'Combo 1'!AA56+'Combo 2'!AA32)</f>
        <v>#REF!</v>
      </c>
      <c r="O17" s="53" t="e">
        <f>-SUM('Roofs 1'!AD52+#REF!+#REF!+#REF!+'Maintain (PRN) 1'!AC38+'Maintain (PRN) 2'!AC38+'Combo 1'!AC56+'Combo 2'!AC32)</f>
        <v>#REF!</v>
      </c>
      <c r="Q17" s="53" t="e">
        <f>-SUM('Roofs 1'!AF52+#REF!+#REF!+#REF!+'Maintain (PRN) 1'!AE38+'Maintain (PRN) 2'!AE38+'Combo 1'!AE56+'Combo 2'!AE32)</f>
        <v>#REF!</v>
      </c>
      <c r="S17" s="53" t="e">
        <f>-SUM('Roofs 1'!AH52+#REF!+#REF!+#REF!+'Maintain (PRN) 1'!AG38+'Maintain (PRN) 2'!AG38+'Combo 1'!AG56+'Combo 2'!AG32)</f>
        <v>#REF!</v>
      </c>
      <c r="U17" s="53" t="e">
        <f>-SUM('Roofs 1'!AJ52+#REF!+#REF!+#REF!+'Maintain (PRN) 1'!AI38+'Maintain (PRN) 2'!AI38+'Combo 1'!AI56+'Combo 2'!AI32)</f>
        <v>#REF!</v>
      </c>
      <c r="W17" s="53" t="e">
        <f>-SUM('Roofs 1'!AL52+#REF!+#REF!+#REF!+'Maintain (PRN) 1'!AK38+'Maintain (PRN) 2'!AK38+'Combo 1'!AK56+'Combo 2'!AK32)</f>
        <v>#REF!</v>
      </c>
      <c r="Y17" s="53" t="e">
        <f>-SUM('Roofs 1'!AN52+#REF!+#REF!+#REF!+'Maintain (PRN) 1'!AM38+'Maintain (PRN) 2'!AM38+'Combo 1'!AM56+'Combo 2'!AM32)</f>
        <v>#REF!</v>
      </c>
      <c r="AA17" s="53" t="e">
        <f>-SUM('Roofs 1'!AP52+#REF!+#REF!+#REF!+'Maintain (PRN) 1'!AO38+'Maintain (PRN) 2'!AO38+'Combo 1'!AO56+'Combo 2'!AO32)</f>
        <v>#REF!</v>
      </c>
      <c r="AC17" s="53" t="e">
        <f>-SUM('Roofs 1'!AR52+#REF!+#REF!+#REF!+'Maintain (PRN) 1'!AQ38+'Maintain (PRN) 2'!AQ38+'Combo 1'!AQ56+'Combo 2'!AQ32)</f>
        <v>#REF!</v>
      </c>
      <c r="AE17" s="53" t="e">
        <f>-SUM('Roofs 1'!AT52+#REF!+#REF!+#REF!+'Maintain (PRN) 1'!AS38+'Maintain (PRN) 2'!AS38+'Combo 1'!AS56+'Combo 2'!AS32)</f>
        <v>#REF!</v>
      </c>
      <c r="AG17" s="53" t="e">
        <f>-SUM('Roofs 1'!AV52+#REF!+#REF!+#REF!+'Maintain (PRN) 1'!AU38+'Maintain (PRN) 2'!AU38+'Combo 1'!AU56+'Combo 2'!AU32)</f>
        <v>#REF!</v>
      </c>
      <c r="AI17" s="53" t="e">
        <f>-SUM('Roofs 1'!AX52+#REF!+#REF!+#REF!+'Maintain (PRN) 1'!AW38+'Maintain (PRN) 2'!AW38+'Combo 1'!AW56+'Combo 2'!AW32)</f>
        <v>#REF!</v>
      </c>
      <c r="AK17" s="53" t="e">
        <f>-SUM('Roofs 1'!AZ52+#REF!+#REF!+#REF!+'Maintain (PRN) 1'!AY38+'Maintain (PRN) 2'!AY38+'Combo 1'!AY56+'Combo 2'!AY32)</f>
        <v>#REF!</v>
      </c>
      <c r="AL17" s="16"/>
      <c r="AM17" s="16"/>
    </row>
    <row r="18" spans="1:39" s="2" customFormat="1" ht="11.65" customHeight="1" x14ac:dyDescent="0.35">
      <c r="A18" s="40"/>
      <c r="C18" s="14"/>
      <c r="D18" s="3"/>
      <c r="E18" s="40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6"/>
      <c r="AM18" s="16"/>
    </row>
    <row r="19" spans="1:39" s="2" customFormat="1" ht="11.65" customHeight="1" x14ac:dyDescent="0.35">
      <c r="A19" s="40"/>
      <c r="C19" s="14"/>
      <c r="D19" s="3"/>
      <c r="E19" s="40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16"/>
    </row>
    <row r="20" spans="1:39" s="2" customFormat="1" ht="23.25" x14ac:dyDescent="0.35">
      <c r="A20" s="62"/>
      <c r="B20" s="63"/>
      <c r="C20" s="65" t="s">
        <v>38</v>
      </c>
      <c r="D20" s="64"/>
      <c r="E20" s="62"/>
      <c r="F20" s="63"/>
      <c r="G20" s="63"/>
      <c r="H20" s="70"/>
      <c r="I20" s="71" t="e">
        <f t="shared" ref="I20:AK20" si="0">SUM(I13:I17)</f>
        <v>#REF!</v>
      </c>
      <c r="J20" s="71"/>
      <c r="K20" s="71" t="e">
        <f t="shared" si="0"/>
        <v>#REF!</v>
      </c>
      <c r="L20" s="71"/>
      <c r="M20" s="71" t="e">
        <f t="shared" si="0"/>
        <v>#REF!</v>
      </c>
      <c r="N20" s="71"/>
      <c r="O20" s="71" t="e">
        <f t="shared" si="0"/>
        <v>#REF!</v>
      </c>
      <c r="P20" s="71"/>
      <c r="Q20" s="71" t="e">
        <f t="shared" si="0"/>
        <v>#REF!</v>
      </c>
      <c r="R20" s="71"/>
      <c r="S20" s="71" t="e">
        <f t="shared" si="0"/>
        <v>#REF!</v>
      </c>
      <c r="T20" s="71"/>
      <c r="U20" s="71" t="e">
        <f t="shared" si="0"/>
        <v>#REF!</v>
      </c>
      <c r="V20" s="71"/>
      <c r="W20" s="71" t="e">
        <f t="shared" si="0"/>
        <v>#REF!</v>
      </c>
      <c r="X20" s="71"/>
      <c r="Y20" s="71" t="e">
        <f t="shared" si="0"/>
        <v>#REF!</v>
      </c>
      <c r="Z20" s="71"/>
      <c r="AA20" s="71" t="e">
        <f t="shared" si="0"/>
        <v>#REF!</v>
      </c>
      <c r="AB20" s="71"/>
      <c r="AC20" s="71" t="e">
        <f t="shared" si="0"/>
        <v>#REF!</v>
      </c>
      <c r="AD20" s="71"/>
      <c r="AE20" s="71" t="e">
        <f t="shared" si="0"/>
        <v>#REF!</v>
      </c>
      <c r="AF20" s="71"/>
      <c r="AG20" s="71" t="e">
        <f t="shared" si="0"/>
        <v>#REF!</v>
      </c>
      <c r="AH20" s="71"/>
      <c r="AI20" s="71" t="e">
        <f t="shared" si="0"/>
        <v>#REF!</v>
      </c>
      <c r="AJ20" s="71"/>
      <c r="AK20" s="71" t="e">
        <f t="shared" si="0"/>
        <v>#REF!</v>
      </c>
      <c r="AL20" s="16"/>
      <c r="AM20" s="16"/>
    </row>
    <row r="21" spans="1:39" s="2" customFormat="1" ht="23.25" x14ac:dyDescent="0.35">
      <c r="A21" s="40"/>
      <c r="C21" s="14"/>
      <c r="D21" s="3"/>
      <c r="E21" s="40"/>
      <c r="F21" s="2" t="s">
        <v>28</v>
      </c>
      <c r="H21" s="16"/>
      <c r="I21" s="41" t="s">
        <v>39</v>
      </c>
      <c r="J21" s="41"/>
      <c r="K21" s="29">
        <f>+K14-I14</f>
        <v>29.999999999999773</v>
      </c>
      <c r="L21" s="29"/>
      <c r="M21" s="29">
        <f>+M14-K14</f>
        <v>30.449999999999591</v>
      </c>
      <c r="N21" s="29"/>
      <c r="O21" s="29">
        <f>+O14-M14</f>
        <v>30.906749999999647</v>
      </c>
      <c r="P21" s="29"/>
      <c r="Q21" s="29">
        <f>+Q14-O14</f>
        <v>31.370351249999658</v>
      </c>
      <c r="R21" s="29"/>
      <c r="S21" s="29">
        <f>+S14-Q14</f>
        <v>31.840906518749762</v>
      </c>
      <c r="T21" s="29"/>
      <c r="U21" s="29">
        <f>+U14-S14</f>
        <v>32.31852011653109</v>
      </c>
      <c r="V21" s="29"/>
      <c r="W21" s="29">
        <f>+W14-U14</f>
        <v>32.803297918278986</v>
      </c>
      <c r="X21" s="29"/>
      <c r="Y21" s="29">
        <f>+Y14-W14</f>
        <v>33.295347387052971</v>
      </c>
      <c r="Z21" s="29"/>
      <c r="AA21" s="29">
        <f>+AA14-Y14</f>
        <v>33.794777597859138</v>
      </c>
      <c r="AB21" s="29"/>
      <c r="AC21" s="29">
        <f>+AC14-AA14</f>
        <v>34.301699261826798</v>
      </c>
      <c r="AD21" s="29"/>
      <c r="AE21" s="29">
        <f>+AE14-AC14</f>
        <v>34.816224750754373</v>
      </c>
      <c r="AF21" s="29"/>
      <c r="AG21" s="29">
        <f>+AG14-AE14</f>
        <v>35.338468122015456</v>
      </c>
      <c r="AH21" s="29"/>
      <c r="AI21" s="29">
        <f>+AI14-AG14</f>
        <v>35.868545143845949</v>
      </c>
      <c r="AJ21" s="29"/>
      <c r="AK21" s="29">
        <f>+AK14-AI14</f>
        <v>36.406573321003634</v>
      </c>
      <c r="AL21" s="16"/>
      <c r="AM21" s="16"/>
    </row>
    <row r="22" spans="1:39" s="2" customFormat="1" ht="23.25" x14ac:dyDescent="0.35">
      <c r="A22" s="40"/>
      <c r="C22" s="14"/>
      <c r="D22" s="3"/>
      <c r="E22" s="40"/>
      <c r="F22" s="2" t="s">
        <v>33</v>
      </c>
      <c r="H22" s="16"/>
      <c r="I22" s="39" t="s">
        <v>39</v>
      </c>
      <c r="J22" s="39"/>
      <c r="K22" s="61">
        <v>1.4999999999999999E-2</v>
      </c>
      <c r="L22" s="34"/>
      <c r="M22" s="34">
        <f>K22</f>
        <v>1.4999999999999999E-2</v>
      </c>
      <c r="N22" s="34"/>
      <c r="O22" s="34">
        <f>M22</f>
        <v>1.4999999999999999E-2</v>
      </c>
      <c r="P22" s="34"/>
      <c r="Q22" s="34">
        <f>O22</f>
        <v>1.4999999999999999E-2</v>
      </c>
      <c r="R22" s="34"/>
      <c r="S22" s="34">
        <f>Q22</f>
        <v>1.4999999999999999E-2</v>
      </c>
      <c r="T22" s="34"/>
      <c r="U22" s="34">
        <f>S22</f>
        <v>1.4999999999999999E-2</v>
      </c>
      <c r="V22" s="34"/>
      <c r="W22" s="34">
        <f>U22</f>
        <v>1.4999999999999999E-2</v>
      </c>
      <c r="X22" s="34"/>
      <c r="Y22" s="34">
        <f>W22</f>
        <v>1.4999999999999999E-2</v>
      </c>
      <c r="Z22" s="34"/>
      <c r="AA22" s="34">
        <f>Y22</f>
        <v>1.4999999999999999E-2</v>
      </c>
      <c r="AB22" s="34"/>
      <c r="AC22" s="34">
        <f>AA22</f>
        <v>1.4999999999999999E-2</v>
      </c>
      <c r="AD22" s="34"/>
      <c r="AE22" s="34">
        <f>AC22</f>
        <v>1.4999999999999999E-2</v>
      </c>
      <c r="AF22" s="34"/>
      <c r="AG22" s="34">
        <f>AE22</f>
        <v>1.4999999999999999E-2</v>
      </c>
      <c r="AH22" s="34"/>
      <c r="AI22" s="34">
        <f>AG22</f>
        <v>1.4999999999999999E-2</v>
      </c>
      <c r="AJ22" s="34"/>
      <c r="AK22" s="34">
        <f>AI22</f>
        <v>1.4999999999999999E-2</v>
      </c>
      <c r="AL22" s="16"/>
      <c r="AM22" s="16"/>
    </row>
    <row r="23" spans="1:39" s="2" customFormat="1" ht="23.25" x14ac:dyDescent="0.35">
      <c r="A23" s="40"/>
      <c r="C23" s="14"/>
      <c r="D23" s="3"/>
      <c r="E23" s="40"/>
      <c r="F23" s="2" t="s">
        <v>95</v>
      </c>
      <c r="H23" s="16"/>
      <c r="I23" s="39" t="s">
        <v>39</v>
      </c>
      <c r="J23" s="39"/>
      <c r="K23" s="246">
        <f>+K15/M47</f>
        <v>0</v>
      </c>
      <c r="L23" s="246"/>
      <c r="M23" s="246">
        <f>+M15/M47</f>
        <v>0</v>
      </c>
      <c r="N23" s="246"/>
      <c r="O23" s="246">
        <f>+O15/M47</f>
        <v>0</v>
      </c>
      <c r="P23" s="246"/>
      <c r="Q23" s="246">
        <f>+Q15/M47</f>
        <v>0</v>
      </c>
      <c r="R23" s="246"/>
      <c r="S23" s="246">
        <f>+S15/M47</f>
        <v>0</v>
      </c>
      <c r="T23" s="246"/>
      <c r="U23" s="246">
        <f>+U15/M47</f>
        <v>0</v>
      </c>
      <c r="V23" s="246"/>
      <c r="W23" s="246">
        <f>+W15/M47</f>
        <v>0</v>
      </c>
      <c r="X23" s="246"/>
      <c r="Y23" s="246">
        <f>+Y15/M47</f>
        <v>0</v>
      </c>
      <c r="Z23" s="246"/>
      <c r="AA23" s="246">
        <f>+AA15/M47</f>
        <v>0</v>
      </c>
      <c r="AB23" s="246"/>
      <c r="AC23" s="246">
        <f>+AC15/M47</f>
        <v>0</v>
      </c>
      <c r="AD23" s="246"/>
      <c r="AE23" s="246">
        <f>+AE15/M47</f>
        <v>0</v>
      </c>
      <c r="AF23" s="246"/>
      <c r="AG23" s="246">
        <f>+AG15/M47</f>
        <v>0</v>
      </c>
      <c r="AH23" s="246"/>
      <c r="AI23" s="246">
        <f>+AI15/M47</f>
        <v>0</v>
      </c>
      <c r="AJ23" s="246"/>
      <c r="AK23" s="246">
        <f>+AK15/M47</f>
        <v>0</v>
      </c>
      <c r="AL23" s="49"/>
      <c r="AM23" s="16"/>
    </row>
    <row r="24" spans="1:39" s="2" customFormat="1" ht="23.25" x14ac:dyDescent="0.35">
      <c r="A24" s="9"/>
      <c r="B24" s="10"/>
      <c r="C24" s="33"/>
      <c r="D24" s="28"/>
      <c r="E24" s="9"/>
      <c r="F24" s="10" t="s">
        <v>29</v>
      </c>
      <c r="G24" s="10"/>
      <c r="H24" s="10"/>
      <c r="I24" s="42" t="s">
        <v>39</v>
      </c>
      <c r="J24" s="42"/>
      <c r="K24" s="246">
        <f>(+K21/M47)/12</f>
        <v>2.2522522522522351E-2</v>
      </c>
      <c r="L24" s="246"/>
      <c r="M24" s="246">
        <f>(+M21/M47)/12</f>
        <v>2.2860360360360054E-2</v>
      </c>
      <c r="N24" s="246"/>
      <c r="O24" s="246">
        <f>(+O21/M47)/12</f>
        <v>2.3203265765765504E-2</v>
      </c>
      <c r="P24" s="246"/>
      <c r="Q24" s="246">
        <f>(+Q21/M47)/12</f>
        <v>2.3551314752251997E-2</v>
      </c>
      <c r="R24" s="246"/>
      <c r="S24" s="246">
        <f>(+S21/M47)/12</f>
        <v>2.3904584473535856E-2</v>
      </c>
      <c r="T24" s="246"/>
      <c r="U24" s="246">
        <f>(+U21/M47)/12</f>
        <v>2.4263153240638959E-2</v>
      </c>
      <c r="V24" s="246"/>
      <c r="W24" s="246">
        <f>(+W21/M47)/12</f>
        <v>2.4627100539248489E-2</v>
      </c>
      <c r="X24" s="246"/>
      <c r="Y24" s="246">
        <f>(+Y21/M47)/12</f>
        <v>2.4996507047337066E-2</v>
      </c>
      <c r="Z24" s="246"/>
      <c r="AA24" s="246">
        <f>(+AA21/M47)/12</f>
        <v>2.5371454653047399E-2</v>
      </c>
      <c r="AB24" s="246"/>
      <c r="AC24" s="246">
        <f>(+AC21/M47)/12</f>
        <v>2.5752026472842943E-2</v>
      </c>
      <c r="AD24" s="246"/>
      <c r="AE24" s="246">
        <f>(+AE21/M47)/12</f>
        <v>2.6138306869935717E-2</v>
      </c>
      <c r="AF24" s="246"/>
      <c r="AG24" s="246">
        <f>(+AG21/M47)/12</f>
        <v>2.6530381472984577E-2</v>
      </c>
      <c r="AH24" s="246"/>
      <c r="AI24" s="246">
        <f>(+AI21/M47)/12</f>
        <v>2.6928337195079543E-2</v>
      </c>
      <c r="AJ24" s="246"/>
      <c r="AK24" s="246">
        <f>(+AK21/M47)/12</f>
        <v>2.7332262253005734E-2</v>
      </c>
      <c r="AL24" s="245"/>
      <c r="AM24" s="16"/>
    </row>
    <row r="25" spans="1:39" s="2" customFormat="1" ht="23.25" x14ac:dyDescent="0.35">
      <c r="A25" s="9"/>
      <c r="B25" s="10"/>
      <c r="C25" s="33"/>
      <c r="D25" s="28"/>
      <c r="E25" s="9"/>
      <c r="F25" s="10" t="s">
        <v>35</v>
      </c>
      <c r="G25" s="10"/>
      <c r="H25" s="10"/>
      <c r="I25" s="42" t="str">
        <f>+I24</f>
        <v>N/A</v>
      </c>
      <c r="J25" s="42"/>
      <c r="K25" s="246">
        <f>+K24</f>
        <v>2.2522522522522351E-2</v>
      </c>
      <c r="L25" s="246"/>
      <c r="M25" s="246">
        <f>+M24+K25</f>
        <v>4.5382882882882405E-2</v>
      </c>
      <c r="N25" s="246"/>
      <c r="O25" s="246">
        <f>+O24+M25</f>
        <v>6.8586148648647913E-2</v>
      </c>
      <c r="P25" s="246"/>
      <c r="Q25" s="246">
        <f>+Q24+O25</f>
        <v>9.2137463400899913E-2</v>
      </c>
      <c r="R25" s="246"/>
      <c r="S25" s="246">
        <f>+S24+Q25</f>
        <v>0.11604204787443577</v>
      </c>
      <c r="T25" s="246"/>
      <c r="U25" s="246">
        <f>+U24+S25</f>
        <v>0.14030520111507472</v>
      </c>
      <c r="V25" s="246"/>
      <c r="W25" s="246">
        <f>+W24+U25</f>
        <v>0.16493230165432321</v>
      </c>
      <c r="X25" s="246"/>
      <c r="Y25" s="246">
        <f>+Y24+W25</f>
        <v>0.18992880870166029</v>
      </c>
      <c r="Z25" s="246"/>
      <c r="AA25" s="246">
        <f>+AA24+Y25</f>
        <v>0.2153002633547077</v>
      </c>
      <c r="AB25" s="246"/>
      <c r="AC25" s="246">
        <f>+AC24+AA25</f>
        <v>0.24105228982755064</v>
      </c>
      <c r="AD25" s="246"/>
      <c r="AE25" s="246">
        <f>+AE24+AC25</f>
        <v>0.26719059669748635</v>
      </c>
      <c r="AF25" s="246"/>
      <c r="AG25" s="246">
        <f>+AG24+AE25</f>
        <v>0.29372097817047094</v>
      </c>
      <c r="AH25" s="246"/>
      <c r="AI25" s="246">
        <f>+AI24+AG25</f>
        <v>0.32064931536555047</v>
      </c>
      <c r="AJ25" s="246"/>
      <c r="AK25" s="246">
        <f>+AK24+AI25</f>
        <v>0.34798157761855619</v>
      </c>
      <c r="AL25" s="16"/>
      <c r="AM25" s="16"/>
    </row>
    <row r="26" spans="1:39" s="2" customFormat="1" ht="24" thickBot="1" x14ac:dyDescent="0.4">
      <c r="A26" s="45"/>
      <c r="B26" s="46"/>
      <c r="C26" s="47"/>
      <c r="D26" s="36"/>
      <c r="E26" s="45"/>
      <c r="F26" s="46" t="s">
        <v>43</v>
      </c>
      <c r="G26" s="46"/>
      <c r="H26" s="46"/>
      <c r="I26" s="44" t="s">
        <v>39</v>
      </c>
      <c r="J26" s="44"/>
      <c r="K26" s="256">
        <f>+K21/I47</f>
        <v>2.7002700270026797E-2</v>
      </c>
      <c r="L26" s="256"/>
      <c r="M26" s="256">
        <f>+M21/I47</f>
        <v>2.7407740774077038E-2</v>
      </c>
      <c r="N26" s="256"/>
      <c r="O26" s="256">
        <f>+O21/I47</f>
        <v>2.7818856885688251E-2</v>
      </c>
      <c r="P26" s="256"/>
      <c r="Q26" s="256">
        <f>+Q21/I47</f>
        <v>2.8236139738973591E-2</v>
      </c>
      <c r="R26" s="256"/>
      <c r="S26" s="256">
        <f>+S21/I47</f>
        <v>2.8659681835058293E-2</v>
      </c>
      <c r="T26" s="256"/>
      <c r="U26" s="256">
        <f>+U21/I47</f>
        <v>2.9089577062584238E-2</v>
      </c>
      <c r="V26" s="256"/>
      <c r="W26" s="256">
        <f>+W21/I47</f>
        <v>2.952592071852294E-2</v>
      </c>
      <c r="X26" s="256"/>
      <c r="Y26" s="256">
        <f>+Y21/I47</f>
        <v>2.9968809529300602E-2</v>
      </c>
      <c r="Z26" s="256"/>
      <c r="AA26" s="256">
        <f>+AA21/I47</f>
        <v>3.0418341672240449E-2</v>
      </c>
      <c r="AB26" s="256"/>
      <c r="AC26" s="256">
        <f>+AC21/I47</f>
        <v>3.087461679732385E-2</v>
      </c>
      <c r="AD26" s="256"/>
      <c r="AE26" s="256">
        <f>+AE21/I47</f>
        <v>3.1337736049283867E-2</v>
      </c>
      <c r="AF26" s="256"/>
      <c r="AG26" s="256">
        <f>+AG21/I47</f>
        <v>3.1807802090022916E-2</v>
      </c>
      <c r="AH26" s="256"/>
      <c r="AI26" s="256">
        <f>+AI21/I47</f>
        <v>3.228491912137349E-2</v>
      </c>
      <c r="AJ26" s="256"/>
      <c r="AK26" s="256">
        <f>+AK21/I47</f>
        <v>3.2769192908194092E-2</v>
      </c>
      <c r="AL26" s="16"/>
      <c r="AM26" s="16"/>
    </row>
    <row r="27" spans="1:39" s="2" customFormat="1" ht="24" thickTop="1" x14ac:dyDescent="0.35">
      <c r="A27" s="9"/>
      <c r="B27" s="10"/>
      <c r="C27" s="27"/>
      <c r="D27" s="28"/>
      <c r="E27" s="9"/>
      <c r="F27" s="10"/>
      <c r="G27" s="10"/>
      <c r="H27" s="10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2"/>
      <c r="T27" s="32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16"/>
      <c r="AM27" s="16"/>
    </row>
    <row r="28" spans="1:39" s="2" customFormat="1" ht="23.25" x14ac:dyDescent="0.35">
      <c r="A28" s="40"/>
      <c r="C28" s="12"/>
      <c r="D28" s="3"/>
      <c r="E28" s="40"/>
      <c r="I28" s="19">
        <v>16</v>
      </c>
      <c r="J28" s="19"/>
      <c r="K28" s="19">
        <v>17</v>
      </c>
      <c r="L28" s="19"/>
      <c r="M28" s="19">
        <v>18</v>
      </c>
      <c r="N28" s="19"/>
      <c r="O28" s="19">
        <v>19</v>
      </c>
      <c r="P28" s="19"/>
      <c r="Q28" s="19">
        <v>20</v>
      </c>
      <c r="R28" s="19"/>
      <c r="S28" s="19">
        <v>21</v>
      </c>
      <c r="T28" s="19"/>
      <c r="U28" s="19">
        <v>22</v>
      </c>
      <c r="V28" s="19"/>
      <c r="W28" s="19">
        <v>23</v>
      </c>
      <c r="X28" s="19"/>
      <c r="Y28" s="19">
        <v>24</v>
      </c>
      <c r="Z28" s="19"/>
      <c r="AA28" s="19">
        <v>25</v>
      </c>
      <c r="AB28" s="19"/>
      <c r="AC28" s="19">
        <v>26</v>
      </c>
      <c r="AD28" s="19"/>
      <c r="AE28" s="19">
        <v>27</v>
      </c>
      <c r="AF28" s="19"/>
      <c r="AG28" s="19">
        <v>28</v>
      </c>
      <c r="AH28" s="19"/>
      <c r="AI28" s="19">
        <v>29</v>
      </c>
      <c r="AJ28" s="19"/>
      <c r="AK28" s="19">
        <v>30</v>
      </c>
      <c r="AL28" s="16"/>
      <c r="AM28" s="16"/>
    </row>
    <row r="29" spans="1:39" s="2" customFormat="1" ht="23.25" x14ac:dyDescent="0.35">
      <c r="A29" s="9"/>
      <c r="B29" s="10"/>
      <c r="C29" s="27"/>
      <c r="D29" s="28"/>
      <c r="E29" s="9"/>
      <c r="F29" s="10"/>
      <c r="G29" s="10"/>
      <c r="H29" s="10"/>
      <c r="I29" s="38">
        <f>+AK12+1</f>
        <v>2039</v>
      </c>
      <c r="J29" s="38"/>
      <c r="K29" s="38">
        <f>+I29+1</f>
        <v>2040</v>
      </c>
      <c r="L29" s="38"/>
      <c r="M29" s="38">
        <f>+K29+1</f>
        <v>2041</v>
      </c>
      <c r="N29" s="38"/>
      <c r="O29" s="38">
        <f>+M29+1</f>
        <v>2042</v>
      </c>
      <c r="P29" s="38"/>
      <c r="Q29" s="38">
        <f>+O29+1</f>
        <v>2043</v>
      </c>
      <c r="R29" s="38"/>
      <c r="S29" s="38">
        <f>+Q29+1</f>
        <v>2044</v>
      </c>
      <c r="T29" s="38"/>
      <c r="U29" s="38">
        <f>+S29+1</f>
        <v>2045</v>
      </c>
      <c r="V29" s="38"/>
      <c r="W29" s="38">
        <f>+U29+1</f>
        <v>2046</v>
      </c>
      <c r="X29" s="38"/>
      <c r="Y29" s="38">
        <f>+W29+1</f>
        <v>2047</v>
      </c>
      <c r="Z29" s="38"/>
      <c r="AA29" s="38">
        <f>+Y29+1</f>
        <v>2048</v>
      </c>
      <c r="AB29" s="38"/>
      <c r="AC29" s="38">
        <f>+AA29+1</f>
        <v>2049</v>
      </c>
      <c r="AD29" s="38"/>
      <c r="AE29" s="38">
        <f>+AC29+1</f>
        <v>2050</v>
      </c>
      <c r="AF29" s="38"/>
      <c r="AG29" s="38">
        <f>+AE29+1</f>
        <v>2051</v>
      </c>
      <c r="AH29" s="38"/>
      <c r="AI29" s="38">
        <f>+AG29+1</f>
        <v>2052</v>
      </c>
      <c r="AJ29" s="38"/>
      <c r="AK29" s="38">
        <f>+AI29+1</f>
        <v>2053</v>
      </c>
      <c r="AL29" s="16"/>
      <c r="AM29" s="16"/>
    </row>
    <row r="30" spans="1:39" s="2" customFormat="1" ht="23.25" x14ac:dyDescent="0.35">
      <c r="A30" s="62"/>
      <c r="B30" s="63"/>
      <c r="C30" s="65" t="s">
        <v>15</v>
      </c>
      <c r="D30" s="64"/>
      <c r="E30" s="62"/>
      <c r="F30" s="63"/>
      <c r="G30" s="63"/>
      <c r="H30" s="63"/>
      <c r="I30" s="67" t="e">
        <f>AK20</f>
        <v>#REF!</v>
      </c>
      <c r="J30" s="67"/>
      <c r="K30" s="67" t="e">
        <f>I37</f>
        <v>#REF!</v>
      </c>
      <c r="L30" s="67"/>
      <c r="M30" s="67" t="e">
        <f>K37</f>
        <v>#REF!</v>
      </c>
      <c r="N30" s="67"/>
      <c r="O30" s="67" t="e">
        <f>M37</f>
        <v>#REF!</v>
      </c>
      <c r="P30" s="67"/>
      <c r="Q30" s="67" t="e">
        <f>O37</f>
        <v>#REF!</v>
      </c>
      <c r="R30" s="67"/>
      <c r="S30" s="67" t="e">
        <f>Q37</f>
        <v>#REF!</v>
      </c>
      <c r="T30" s="67"/>
      <c r="U30" s="67" t="e">
        <f>S37</f>
        <v>#REF!</v>
      </c>
      <c r="V30" s="67"/>
      <c r="W30" s="67" t="e">
        <f>U37</f>
        <v>#REF!</v>
      </c>
      <c r="X30" s="67"/>
      <c r="Y30" s="67" t="e">
        <f>W37</f>
        <v>#REF!</v>
      </c>
      <c r="Z30" s="67"/>
      <c r="AA30" s="67" t="e">
        <f>Y37</f>
        <v>#REF!</v>
      </c>
      <c r="AB30" s="67"/>
      <c r="AC30" s="67" t="e">
        <f>AA37</f>
        <v>#REF!</v>
      </c>
      <c r="AD30" s="67"/>
      <c r="AE30" s="67" t="e">
        <f>AC37</f>
        <v>#REF!</v>
      </c>
      <c r="AF30" s="67"/>
      <c r="AG30" s="67" t="e">
        <f>AE37</f>
        <v>#REF!</v>
      </c>
      <c r="AH30" s="67"/>
      <c r="AI30" s="67" t="e">
        <f>AG37</f>
        <v>#REF!</v>
      </c>
      <c r="AJ30" s="67"/>
      <c r="AK30" s="67" t="e">
        <f>AI37</f>
        <v>#REF!</v>
      </c>
      <c r="AL30" s="16"/>
      <c r="AM30" s="16"/>
    </row>
    <row r="31" spans="1:39" s="2" customFormat="1" ht="23.25" x14ac:dyDescent="0.35">
      <c r="A31" s="72" t="str">
        <f>+A14</f>
        <v>Plus</v>
      </c>
      <c r="B31" s="65">
        <f>+B14</f>
        <v>0</v>
      </c>
      <c r="C31" s="65" t="str">
        <f>+C14</f>
        <v>Total Recommended Reserve Contribution (Note 2)</v>
      </c>
      <c r="D31" s="64"/>
      <c r="E31" s="62"/>
      <c r="F31" s="63"/>
      <c r="G31" s="63"/>
      <c r="H31" s="63"/>
      <c r="I31" s="68">
        <f>+AK14*(1+I39)</f>
        <v>2500.4641333087352</v>
      </c>
      <c r="J31" s="68"/>
      <c r="K31" s="68">
        <f>+I31*(1+K39)</f>
        <v>2537.9710953083659</v>
      </c>
      <c r="L31" s="68"/>
      <c r="M31" s="68">
        <f>+K31*(1+M39)</f>
        <v>2576.0406617379913</v>
      </c>
      <c r="N31" s="68"/>
      <c r="O31" s="68">
        <f>+M31*(1+O39)</f>
        <v>2614.6812716640611</v>
      </c>
      <c r="P31" s="68"/>
      <c r="Q31" s="68">
        <f>+O31*(1+Q39)</f>
        <v>2653.9014907390219</v>
      </c>
      <c r="R31" s="68"/>
      <c r="S31" s="68">
        <f>+Q31*(1+S39)</f>
        <v>2693.7100131001071</v>
      </c>
      <c r="T31" s="68"/>
      <c r="U31" s="68">
        <f>+S31*(1+U39)</f>
        <v>2734.1156632966085</v>
      </c>
      <c r="V31" s="68"/>
      <c r="W31" s="68">
        <f>+U31*(1+W39)</f>
        <v>2775.1273982460575</v>
      </c>
      <c r="X31" s="68"/>
      <c r="Y31" s="68">
        <f>+W31*(1+Y39)</f>
        <v>2816.7543092197479</v>
      </c>
      <c r="Z31" s="68"/>
      <c r="AA31" s="68">
        <f>+Y31*(1+AA39)</f>
        <v>2859.0056238580437</v>
      </c>
      <c r="AB31" s="68"/>
      <c r="AC31" s="68">
        <f>+AA31*(1+AC39)</f>
        <v>2901.8907082159139</v>
      </c>
      <c r="AD31" s="68"/>
      <c r="AE31" s="68">
        <f>+AC31*(1+AE39)</f>
        <v>2945.4190688391523</v>
      </c>
      <c r="AF31" s="68"/>
      <c r="AG31" s="68">
        <f>+AE31*(1+AG39)</f>
        <v>2989.6003548717395</v>
      </c>
      <c r="AH31" s="68"/>
      <c r="AI31" s="68">
        <f>+AG31*(1+AI39)</f>
        <v>3034.4443601948151</v>
      </c>
      <c r="AJ31" s="68"/>
      <c r="AK31" s="68">
        <f>+AI31*(1+AK39)</f>
        <v>3079.9610255977368</v>
      </c>
      <c r="AL31" s="16"/>
      <c r="AM31" s="16"/>
    </row>
    <row r="32" spans="1:39" s="2" customFormat="1" ht="23.25" x14ac:dyDescent="0.35">
      <c r="A32" s="62" t="str">
        <f>+A15</f>
        <v>Plus</v>
      </c>
      <c r="B32" s="63"/>
      <c r="C32" s="248" t="str">
        <f>+C15</f>
        <v>Additional Contribution/Special Assessment</v>
      </c>
      <c r="D32" s="64"/>
      <c r="E32" s="62"/>
      <c r="F32" s="63"/>
      <c r="G32" s="63"/>
      <c r="H32" s="63"/>
      <c r="I32" s="68">
        <v>0</v>
      </c>
      <c r="J32" s="68"/>
      <c r="K32" s="68">
        <v>0</v>
      </c>
      <c r="L32" s="68"/>
      <c r="M32" s="68">
        <v>0</v>
      </c>
      <c r="N32" s="68"/>
      <c r="O32" s="68">
        <v>0</v>
      </c>
      <c r="P32" s="68"/>
      <c r="Q32" s="68">
        <v>0</v>
      </c>
      <c r="R32" s="68"/>
      <c r="S32" s="68">
        <v>0</v>
      </c>
      <c r="T32" s="68"/>
      <c r="U32" s="68">
        <v>0</v>
      </c>
      <c r="V32" s="68"/>
      <c r="W32" s="68">
        <v>0</v>
      </c>
      <c r="X32" s="68"/>
      <c r="Y32" s="68">
        <v>0</v>
      </c>
      <c r="Z32" s="68"/>
      <c r="AA32" s="68">
        <v>0</v>
      </c>
      <c r="AB32" s="68"/>
      <c r="AC32" s="68">
        <v>0</v>
      </c>
      <c r="AD32" s="68"/>
      <c r="AE32" s="68">
        <v>0</v>
      </c>
      <c r="AF32" s="68"/>
      <c r="AG32" s="68">
        <v>0</v>
      </c>
      <c r="AH32" s="68"/>
      <c r="AI32" s="68">
        <v>0</v>
      </c>
      <c r="AJ32" s="68"/>
      <c r="AK32" s="68">
        <v>0</v>
      </c>
      <c r="AL32" s="16"/>
      <c r="AM32" s="16"/>
    </row>
    <row r="33" spans="1:39" s="2" customFormat="1" ht="23.25" x14ac:dyDescent="0.35">
      <c r="A33" s="40" t="str">
        <f>+A16</f>
        <v>Plus</v>
      </c>
      <c r="C33" s="14" t="str">
        <f>+C16</f>
        <v>Estimated Interest Earned, During Year (Note 3)</v>
      </c>
      <c r="D33" s="3"/>
      <c r="E33" s="40"/>
      <c r="I33" s="21" t="e">
        <f>IF(-FV(($S$7/12),12,(I31/12),I30,0)-(I30+I31)&gt;0,-FV(($S$7/12),12,(I31/12),I30,0)-(I30+I31),0)</f>
        <v>#REF!</v>
      </c>
      <c r="J33" s="21"/>
      <c r="K33" s="21" t="e">
        <f>IF(-FV(($S$7/12),12,(K31/12),K30,0)-(K30+K31)&gt;0,-FV(($S$7/12),12,(K31/12),K30,0)-(K30+K31),0)</f>
        <v>#REF!</v>
      </c>
      <c r="L33" s="21"/>
      <c r="M33" s="21" t="e">
        <f>IF(-FV(($S$7/12),12,(M31/12),M30,0)-(M30+M31)&gt;0,-FV(($S$7/12),12,(M31/12),M30,0)-(M30+M31),0)</f>
        <v>#REF!</v>
      </c>
      <c r="N33" s="21"/>
      <c r="O33" s="21" t="e">
        <f>IF(-FV(($S$7/12),12,(O31/12),O30,0)-(O30+O31)&gt;0,-FV(($S$7/12),12,(O31/12),O30,0)-(O30+O31),0)</f>
        <v>#REF!</v>
      </c>
      <c r="P33" s="21"/>
      <c r="Q33" s="21" t="e">
        <f>IF(-FV(($S$7/12),12,(Q31/12),Q30,0)-(Q30+Q31)&gt;0,-FV(($S$7/12),12,(Q31/12),Q30,0)-(Q30+Q31),0)</f>
        <v>#REF!</v>
      </c>
      <c r="R33" s="21"/>
      <c r="S33" s="21" t="e">
        <f>IF(-FV(($S$7/12),12,(S31/12),S30,0)-(S30+S31)&gt;0,-FV(($S$7/12),12,(S31/12),S30,0)-(S30+S31),0)</f>
        <v>#REF!</v>
      </c>
      <c r="T33" s="21"/>
      <c r="U33" s="21" t="e">
        <f>IF(-FV(($S$7/12),12,(U31/12),U30,0)-(U30+U31)&gt;0,-FV(($S$7/12),12,(U31/12),U30,0)-(U30+U31),0)</f>
        <v>#REF!</v>
      </c>
      <c r="V33" s="21"/>
      <c r="W33" s="21" t="e">
        <f>IF(-FV(($S$7/12),12,(W31/12),W30,0)-(W30+W31)&gt;0,-FV(($S$7/12),12,(W31/12),W30,0)-(W30+W31),0)</f>
        <v>#REF!</v>
      </c>
      <c r="X33" s="21"/>
      <c r="Y33" s="21" t="e">
        <f>IF(-FV(($S$7/12),12,(Y31/12),Y30,0)-(Y30+Y31)&gt;0,-FV(($S$7/12),12,(Y31/12),Y30,0)-(Y30+Y31),0)</f>
        <v>#REF!</v>
      </c>
      <c r="Z33" s="21"/>
      <c r="AA33" s="21" t="e">
        <f>IF(-FV(($S$7/12),12,(AA31/12),AA30,0)-(AA30+AA31)&gt;0,-FV(($S$7/12),12,(AA31/12),AA30,0)-(AA30+AA31),0)</f>
        <v>#REF!</v>
      </c>
      <c r="AB33" s="21"/>
      <c r="AC33" s="21" t="e">
        <f>IF(-FV(($S$7/12),12,(AC31/12),AC30,0)-(AC30+AC31)&gt;0,-FV(($S$7/12),12,(AC31/12),AC30,0)-(AC30+AC31),0)</f>
        <v>#REF!</v>
      </c>
      <c r="AD33" s="21"/>
      <c r="AE33" s="21" t="e">
        <f>IF(-FV(($S$7/12),12,(AE31/12),AE30,0)-(AE30+AE31)&gt;0,-FV(($S$7/12),12,(AE31/12),AE30,0)-(AE30+AE31),0)</f>
        <v>#REF!</v>
      </c>
      <c r="AF33" s="21"/>
      <c r="AG33" s="21" t="e">
        <f>IF(-FV(($S$7/12),12,(AG31/12),AG30,0)-(AG30+AG31)&gt;0,-FV(($S$7/12),12,(AG31/12),AG30,0)-(AG30+AG31),0)</f>
        <v>#REF!</v>
      </c>
      <c r="AH33" s="21"/>
      <c r="AI33" s="21" t="e">
        <f>IF(-FV(($S$7/12),12,(AI31/12),AI30,0)-(AI30+AI31)&gt;0,-FV(($S$7/12),12,(AI31/12),AI30,0)-(AI30+AI31),0)</f>
        <v>#REF!</v>
      </c>
      <c r="AJ33" s="21"/>
      <c r="AK33" s="21" t="e">
        <f>IF(-FV(($S$7/12),12,(AK31/12),AK30,0)-(AK30+AK31)&gt;0,-FV(($S$7/12),12,(AK31/12),AK30,0)-(AK30+AK31),0)</f>
        <v>#REF!</v>
      </c>
      <c r="AL33" s="16"/>
      <c r="AM33" s="16"/>
    </row>
    <row r="34" spans="1:39" s="2" customFormat="1" ht="23.25" x14ac:dyDescent="0.35">
      <c r="A34" s="40" t="str">
        <f>+A17</f>
        <v>Less</v>
      </c>
      <c r="C34" s="14" t="str">
        <f>+C17</f>
        <v>Anticipated Expenditures, By Year</v>
      </c>
      <c r="D34" s="3"/>
      <c r="E34" s="40"/>
      <c r="I34" s="233" t="e">
        <f>-SUM('Roofs 1'!J102+#REF!+#REF!+#REF!+'Maintain (PRN) 1'!I71+'Maintain (PRN) 2'!I71+'Combo 1'!I107+'Combo 2'!I58)</f>
        <v>#REF!</v>
      </c>
      <c r="K34" s="53" t="e">
        <f>-SUM('Roofs 1'!L102+#REF!+#REF!+#REF!+'Maintain (PRN) 1'!K71+'Maintain (PRN) 2'!K71+'Combo 1'!K107+'Combo 2'!K58)</f>
        <v>#REF!</v>
      </c>
      <c r="M34" s="53" t="e">
        <f>-SUM('Roofs 1'!N102+#REF!+#REF!+#REF!+'Maintain (PRN) 1'!M71+'Maintain (PRN) 2'!M71+'Combo 1'!M107+'Combo 2'!M58)</f>
        <v>#REF!</v>
      </c>
      <c r="O34" s="53" t="e">
        <f>-SUM('Roofs 1'!P102+#REF!+#REF!+#REF!+'Maintain (PRN) 1'!O71+'Maintain (PRN) 2'!O71+'Combo 1'!O107+'Combo 2'!O58)</f>
        <v>#REF!</v>
      </c>
      <c r="Q34" s="53" t="e">
        <f>-SUM('Roofs 1'!R102+#REF!+#REF!+#REF!+'Maintain (PRN) 1'!Q71+'Maintain (PRN) 2'!Q71+'Combo 1'!Q107+'Combo 2'!Q58)</f>
        <v>#REF!</v>
      </c>
      <c r="S34" s="53" t="e">
        <f>-SUM('Roofs 1'!T102+#REF!+#REF!+#REF!+'Maintain (PRN) 1'!S71+'Maintain (PRN) 2'!S71+'Combo 1'!S107+'Combo 2'!S58)</f>
        <v>#REF!</v>
      </c>
      <c r="U34" s="53" t="e">
        <f>-SUM('Roofs 1'!V102+#REF!+#REF!+#REF!+'Maintain (PRN) 1'!U71+'Maintain (PRN) 2'!U71+'Combo 1'!U107+'Combo 2'!U58)</f>
        <v>#REF!</v>
      </c>
      <c r="W34" s="53" t="e">
        <f>-SUM('Roofs 1'!X102+#REF!+#REF!+#REF!+'Maintain (PRN) 1'!W71+'Maintain (PRN) 2'!W71+'Combo 1'!W107+'Combo 2'!W58)</f>
        <v>#REF!</v>
      </c>
      <c r="Y34" s="53" t="e">
        <f>-SUM('Roofs 1'!Z102+#REF!+#REF!+#REF!+'Maintain (PRN) 1'!Y71+'Maintain (PRN) 2'!Y71+'Combo 1'!Y107+'Combo 2'!Y58)</f>
        <v>#REF!</v>
      </c>
      <c r="AA34" s="53" t="e">
        <f>-SUM('Roofs 1'!AB102+#REF!+#REF!+#REF!+'Maintain (PRN) 1'!AA71+'Maintain (PRN) 2'!AA71+'Combo 1'!AA107+'Combo 2'!AA58)</f>
        <v>#REF!</v>
      </c>
      <c r="AC34" s="53" t="e">
        <f>-SUM('Roofs 1'!AD102+#REF!+#REF!+#REF!+'Maintain (PRN) 1'!AC71+'Maintain (PRN) 2'!AC71+'Combo 1'!AC107+'Combo 2'!AC58)</f>
        <v>#REF!</v>
      </c>
      <c r="AE34" s="53" t="e">
        <f>-SUM('Roofs 1'!AF102+#REF!+#REF!+#REF!+'Maintain (PRN) 1'!AE71+'Maintain (PRN) 2'!AE71+'Combo 1'!AE107+'Combo 2'!AE58)</f>
        <v>#REF!</v>
      </c>
      <c r="AG34" s="53" t="e">
        <f>-SUM('Roofs 1'!AH102+#REF!+#REF!+#REF!+'Maintain (PRN) 1'!AG71+'Maintain (PRN) 2'!AG71+'Combo 1'!AG107+'Combo 2'!AG58)</f>
        <v>#REF!</v>
      </c>
      <c r="AI34" s="53" t="e">
        <f>-SUM('Roofs 1'!AJ102+#REF!+#REF!+#REF!+'Maintain (PRN) 1'!AI71+'Maintain (PRN) 2'!AI71+'Combo 1'!AI107+'Combo 2'!AI58)</f>
        <v>#REF!</v>
      </c>
      <c r="AK34" s="53" t="e">
        <f>-SUM('Roofs 1'!AL102+#REF!+#REF!+#REF!+'Maintain (PRN) 1'!AK71+'Maintain (PRN) 2'!AK71+'Combo 1'!AK107+'Combo 2'!AK58)</f>
        <v>#REF!</v>
      </c>
      <c r="AL34" s="16"/>
      <c r="AM34" s="16"/>
    </row>
    <row r="35" spans="1:39" s="2" customFormat="1" ht="11.65" customHeight="1" x14ac:dyDescent="0.35">
      <c r="A35" s="40"/>
      <c r="C35" s="14"/>
      <c r="D35" s="3"/>
      <c r="E35" s="40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6"/>
      <c r="AM35" s="16"/>
    </row>
    <row r="36" spans="1:39" s="2" customFormat="1" ht="11.65" customHeight="1" x14ac:dyDescent="0.35">
      <c r="A36" s="40"/>
      <c r="C36" s="14"/>
      <c r="D36" s="3"/>
      <c r="E36" s="40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6"/>
      <c r="AM36" s="16"/>
    </row>
    <row r="37" spans="1:39" s="2" customFormat="1" ht="23.25" x14ac:dyDescent="0.35">
      <c r="A37" s="62"/>
      <c r="B37" s="63"/>
      <c r="C37" s="65" t="s">
        <v>16</v>
      </c>
      <c r="D37" s="64"/>
      <c r="E37" s="62"/>
      <c r="F37" s="63"/>
      <c r="G37" s="63"/>
      <c r="H37" s="63"/>
      <c r="I37" s="71" t="e">
        <f>SUM(I30:I34)</f>
        <v>#REF!</v>
      </c>
      <c r="J37" s="71"/>
      <c r="K37" s="71" t="e">
        <f>SUM(K30:K34)</f>
        <v>#REF!</v>
      </c>
      <c r="L37" s="71"/>
      <c r="M37" s="71" t="e">
        <f>SUM(M30:M34)</f>
        <v>#REF!</v>
      </c>
      <c r="N37" s="71"/>
      <c r="O37" s="71" t="e">
        <f>SUM(O30:O34)</f>
        <v>#REF!</v>
      </c>
      <c r="P37" s="71"/>
      <c r="Q37" s="71" t="e">
        <f>SUM(Q30:Q34)</f>
        <v>#REF!</v>
      </c>
      <c r="R37" s="71"/>
      <c r="S37" s="71" t="e">
        <f t="shared" ref="S37:AK37" si="1">SUM(S30:S34)</f>
        <v>#REF!</v>
      </c>
      <c r="T37" s="71"/>
      <c r="U37" s="71" t="e">
        <f t="shared" si="1"/>
        <v>#REF!</v>
      </c>
      <c r="V37" s="71"/>
      <c r="W37" s="71" t="e">
        <f t="shared" si="1"/>
        <v>#REF!</v>
      </c>
      <c r="X37" s="71"/>
      <c r="Y37" s="71" t="e">
        <f t="shared" si="1"/>
        <v>#REF!</v>
      </c>
      <c r="Z37" s="71"/>
      <c r="AA37" s="71" t="e">
        <f t="shared" si="1"/>
        <v>#REF!</v>
      </c>
      <c r="AB37" s="71"/>
      <c r="AC37" s="71" t="e">
        <f t="shared" si="1"/>
        <v>#REF!</v>
      </c>
      <c r="AD37" s="71"/>
      <c r="AE37" s="71" t="e">
        <f t="shared" si="1"/>
        <v>#REF!</v>
      </c>
      <c r="AF37" s="71"/>
      <c r="AG37" s="71" t="e">
        <f t="shared" si="1"/>
        <v>#REF!</v>
      </c>
      <c r="AH37" s="71"/>
      <c r="AI37" s="71" t="e">
        <f t="shared" si="1"/>
        <v>#REF!</v>
      </c>
      <c r="AJ37" s="71"/>
      <c r="AK37" s="71" t="e">
        <f t="shared" si="1"/>
        <v>#REF!</v>
      </c>
      <c r="AL37" s="16"/>
      <c r="AM37" s="16"/>
    </row>
    <row r="38" spans="1:39" s="2" customFormat="1" ht="23.25" x14ac:dyDescent="0.35">
      <c r="A38" s="40"/>
      <c r="C38" s="14"/>
      <c r="D38" s="3"/>
      <c r="E38" s="40"/>
      <c r="F38" s="2" t="str">
        <f t="shared" ref="F38:F43" si="2">+F21</f>
        <v>Total increase in funding</v>
      </c>
      <c r="H38" s="16"/>
      <c r="I38" s="29">
        <f>+I31-AK14</f>
        <v>36.952671920818375</v>
      </c>
      <c r="J38" s="29"/>
      <c r="K38" s="29">
        <f>+K31-I31</f>
        <v>37.506961999630676</v>
      </c>
      <c r="L38" s="29"/>
      <c r="M38" s="29">
        <f>+M31-K31</f>
        <v>38.069566429625411</v>
      </c>
      <c r="N38" s="29"/>
      <c r="O38" s="29">
        <f>+O31-M31</f>
        <v>38.640609926069828</v>
      </c>
      <c r="P38" s="29"/>
      <c r="Q38" s="29">
        <f>+Q31-O31</f>
        <v>39.220219074960823</v>
      </c>
      <c r="R38" s="29"/>
      <c r="S38" s="29">
        <f>+S31-Q31</f>
        <v>39.808522361085124</v>
      </c>
      <c r="T38" s="29"/>
      <c r="U38" s="29">
        <f>+U31-S31</f>
        <v>40.405650196501483</v>
      </c>
      <c r="V38" s="29"/>
      <c r="W38" s="29">
        <f>+W31-U31</f>
        <v>41.011734949448964</v>
      </c>
      <c r="X38" s="29"/>
      <c r="Y38" s="29">
        <f>+Y31-W31</f>
        <v>41.626910973690428</v>
      </c>
      <c r="Z38" s="29"/>
      <c r="AA38" s="29">
        <f>+AA31-Y31</f>
        <v>42.251314638295753</v>
      </c>
      <c r="AB38" s="29"/>
      <c r="AC38" s="29">
        <f>+AC31-AA31</f>
        <v>42.885084357870255</v>
      </c>
      <c r="AD38" s="29"/>
      <c r="AE38" s="29">
        <f>+AE31-AC31</f>
        <v>43.528360623238314</v>
      </c>
      <c r="AF38" s="29"/>
      <c r="AG38" s="29">
        <f>+AG31-AE31</f>
        <v>44.181286032587195</v>
      </c>
      <c r="AH38" s="29"/>
      <c r="AI38" s="29">
        <f>+AI31-AG31</f>
        <v>44.844005323075635</v>
      </c>
      <c r="AJ38" s="29"/>
      <c r="AK38" s="29">
        <f>+AK31-AI31</f>
        <v>45.516665402921717</v>
      </c>
      <c r="AL38" s="16"/>
      <c r="AM38" s="16"/>
    </row>
    <row r="39" spans="1:39" s="2" customFormat="1" ht="23.25" x14ac:dyDescent="0.35">
      <c r="A39" s="40"/>
      <c r="C39" s="14"/>
      <c r="D39" s="3"/>
      <c r="E39" s="40"/>
      <c r="F39" s="2" t="str">
        <f t="shared" si="2"/>
        <v>Funding Increase Percentage</v>
      </c>
      <c r="H39" s="16"/>
      <c r="I39" s="34">
        <f>+AK22</f>
        <v>1.4999999999999999E-2</v>
      </c>
      <c r="J39" s="34"/>
      <c r="K39" s="34">
        <f>+I39</f>
        <v>1.4999999999999999E-2</v>
      </c>
      <c r="L39" s="34"/>
      <c r="M39" s="34">
        <f>+K39</f>
        <v>1.4999999999999999E-2</v>
      </c>
      <c r="N39" s="34"/>
      <c r="O39" s="34">
        <f>+M39</f>
        <v>1.4999999999999999E-2</v>
      </c>
      <c r="P39" s="34"/>
      <c r="Q39" s="34">
        <f>+O39</f>
        <v>1.4999999999999999E-2</v>
      </c>
      <c r="R39" s="34"/>
      <c r="S39" s="34">
        <f>+Q39</f>
        <v>1.4999999999999999E-2</v>
      </c>
      <c r="T39" s="34"/>
      <c r="U39" s="34">
        <f>+S39</f>
        <v>1.4999999999999999E-2</v>
      </c>
      <c r="V39" s="34"/>
      <c r="W39" s="34">
        <f>+U39</f>
        <v>1.4999999999999999E-2</v>
      </c>
      <c r="X39" s="34"/>
      <c r="Y39" s="34">
        <f>+W39</f>
        <v>1.4999999999999999E-2</v>
      </c>
      <c r="Z39" s="34"/>
      <c r="AA39" s="34">
        <f>+Y39</f>
        <v>1.4999999999999999E-2</v>
      </c>
      <c r="AB39" s="34"/>
      <c r="AC39" s="34">
        <f>+AA39</f>
        <v>1.4999999999999999E-2</v>
      </c>
      <c r="AD39" s="34"/>
      <c r="AE39" s="34">
        <f>+AC39</f>
        <v>1.4999999999999999E-2</v>
      </c>
      <c r="AF39" s="34"/>
      <c r="AG39" s="34">
        <f>+AE39</f>
        <v>1.4999999999999999E-2</v>
      </c>
      <c r="AH39" s="34"/>
      <c r="AI39" s="34">
        <f>+AG39</f>
        <v>1.4999999999999999E-2</v>
      </c>
      <c r="AJ39" s="34"/>
      <c r="AK39" s="34">
        <f>+AI39</f>
        <v>1.4999999999999999E-2</v>
      </c>
      <c r="AL39" s="16"/>
      <c r="AM39" s="16"/>
    </row>
    <row r="40" spans="1:39" s="2" customFormat="1" ht="23.25" x14ac:dyDescent="0.35">
      <c r="A40" s="40"/>
      <c r="C40" s="14"/>
      <c r="D40" s="3"/>
      <c r="E40" s="40"/>
      <c r="F40" s="2" t="str">
        <f t="shared" si="2"/>
        <v>Add'l Assessment/Contribution/Unit</v>
      </c>
      <c r="H40" s="16"/>
      <c r="I40" s="49">
        <f>+I32/M47</f>
        <v>0</v>
      </c>
      <c r="J40" s="49"/>
      <c r="K40" s="49">
        <f>+K32/M47</f>
        <v>0</v>
      </c>
      <c r="L40" s="49"/>
      <c r="M40" s="49">
        <f>+M32/M47</f>
        <v>0</v>
      </c>
      <c r="N40" s="49"/>
      <c r="O40" s="49">
        <f>+O32/M47</f>
        <v>0</v>
      </c>
      <c r="P40" s="49"/>
      <c r="Q40" s="49">
        <f>+Q32/M47</f>
        <v>0</v>
      </c>
      <c r="R40" s="49"/>
      <c r="S40" s="49">
        <f>+S32/M47</f>
        <v>0</v>
      </c>
      <c r="T40" s="49"/>
      <c r="U40" s="49">
        <f>+U32/M47</f>
        <v>0</v>
      </c>
      <c r="V40" s="49"/>
      <c r="W40" s="49">
        <f>+W32/M47</f>
        <v>0</v>
      </c>
      <c r="X40" s="49"/>
      <c r="Y40" s="49">
        <f>+Y32/M47</f>
        <v>0</v>
      </c>
      <c r="Z40" s="49"/>
      <c r="AA40" s="49">
        <f>+AA32/M47</f>
        <v>0</v>
      </c>
      <c r="AB40" s="49"/>
      <c r="AC40" s="49">
        <f>+AC32/M47</f>
        <v>0</v>
      </c>
      <c r="AD40" s="49"/>
      <c r="AE40" s="49">
        <f>+AE32/M47</f>
        <v>0</v>
      </c>
      <c r="AF40" s="49"/>
      <c r="AG40" s="49">
        <f>+AG32/M47</f>
        <v>0</v>
      </c>
      <c r="AH40" s="49"/>
      <c r="AI40" s="49">
        <f>+AI32/M47</f>
        <v>0</v>
      </c>
      <c r="AJ40" s="49"/>
      <c r="AK40" s="49">
        <f>+AK32/M47</f>
        <v>0</v>
      </c>
      <c r="AL40" s="16"/>
      <c r="AM40" s="16"/>
    </row>
    <row r="41" spans="1:39" ht="23.25" x14ac:dyDescent="0.35">
      <c r="A41" s="30"/>
      <c r="B41" s="30"/>
      <c r="C41" s="30"/>
      <c r="D41" s="30"/>
      <c r="E41" s="30"/>
      <c r="F41" s="10" t="str">
        <f t="shared" si="2"/>
        <v>Per Unit Increase in funding per month</v>
      </c>
      <c r="G41" s="30"/>
      <c r="H41" s="30"/>
      <c r="I41" s="49">
        <f>(I38/M47)/12</f>
        <v>2.7742246186800584E-2</v>
      </c>
      <c r="J41" s="49"/>
      <c r="K41" s="49">
        <f>(K38/M47)/12</f>
        <v>2.815837987960261E-2</v>
      </c>
      <c r="L41" s="49"/>
      <c r="M41" s="49">
        <f>(M38/M47)/12</f>
        <v>2.8580755577796855E-2</v>
      </c>
      <c r="N41" s="49"/>
      <c r="O41" s="49">
        <f>(O38/M47)/12</f>
        <v>2.9009466911463836E-2</v>
      </c>
      <c r="P41" s="49"/>
      <c r="Q41" s="49">
        <f>(Q38/M47)/12</f>
        <v>2.9444608915135752E-2</v>
      </c>
      <c r="R41" s="49"/>
      <c r="S41" s="49">
        <f>(S38/M47)/12</f>
        <v>2.9886278048862708E-2</v>
      </c>
      <c r="T41" s="49"/>
      <c r="U41" s="49">
        <f>(U38/M47)/12</f>
        <v>3.0334572219595707E-2</v>
      </c>
      <c r="V41" s="49"/>
      <c r="W41" s="49">
        <f>(W38/M47)/12</f>
        <v>3.0789590802889611E-2</v>
      </c>
      <c r="X41" s="49"/>
      <c r="Y41" s="49">
        <f>(Y38/M47)/12</f>
        <v>3.1251434664932756E-2</v>
      </c>
      <c r="Z41" s="49"/>
      <c r="AA41" s="49">
        <f>(AA38/M47)/12</f>
        <v>3.1720206184906723E-2</v>
      </c>
      <c r="AB41" s="49"/>
      <c r="AC41" s="49">
        <f>(AC38/M47)/12</f>
        <v>3.2196009277680369E-2</v>
      </c>
      <c r="AD41" s="49"/>
      <c r="AE41" s="49">
        <f>(AE38/M47)/12</f>
        <v>3.2678949416845578E-2</v>
      </c>
      <c r="AF41" s="49"/>
      <c r="AG41" s="49">
        <f>(AG38/M47)/12</f>
        <v>3.3169133658098496E-2</v>
      </c>
      <c r="AH41" s="49"/>
      <c r="AI41" s="49">
        <f>(AI38/M47)/12</f>
        <v>3.3666670662969696E-2</v>
      </c>
      <c r="AJ41" s="49"/>
      <c r="AK41" s="49">
        <f>(AK38/M47)/12</f>
        <v>3.4171670722914202E-2</v>
      </c>
      <c r="AL41" s="246"/>
    </row>
    <row r="42" spans="1:39" ht="23.25" x14ac:dyDescent="0.35">
      <c r="A42" s="30"/>
      <c r="B42" s="30"/>
      <c r="C42" s="30"/>
      <c r="D42" s="30"/>
      <c r="E42" s="30"/>
      <c r="F42" s="35" t="str">
        <f t="shared" si="2"/>
        <v>Cummulative Per Unit Funding Increase</v>
      </c>
      <c r="G42" s="30"/>
      <c r="H42" s="30"/>
      <c r="I42" s="49">
        <f>+I41+AK25</f>
        <v>0.37572382380535679</v>
      </c>
      <c r="J42" s="49"/>
      <c r="K42" s="49">
        <f>+I42+K41</f>
        <v>0.40388220368495942</v>
      </c>
      <c r="L42" s="49"/>
      <c r="M42" s="49">
        <f>+K42+M41</f>
        <v>0.4324629592627563</v>
      </c>
      <c r="N42" s="49"/>
      <c r="O42" s="49">
        <f>+M42+O41</f>
        <v>0.46147242617422013</v>
      </c>
      <c r="P42" s="49"/>
      <c r="Q42" s="49">
        <f>+O42+Q41</f>
        <v>0.49091703508935586</v>
      </c>
      <c r="R42" s="49"/>
      <c r="S42" s="49">
        <f>+Q42+S41</f>
        <v>0.52080331313821859</v>
      </c>
      <c r="T42" s="49"/>
      <c r="U42" s="49">
        <f>+S42+U41</f>
        <v>0.55113788535781427</v>
      </c>
      <c r="V42" s="49"/>
      <c r="W42" s="49">
        <f>+U42+W41</f>
        <v>0.58192747616070384</v>
      </c>
      <c r="X42" s="49"/>
      <c r="Y42" s="49">
        <f>+W42+Y41</f>
        <v>0.61317891082563658</v>
      </c>
      <c r="Z42" s="49"/>
      <c r="AA42" s="49">
        <f>+Y42+AA41</f>
        <v>0.64489911701054325</v>
      </c>
      <c r="AB42" s="49"/>
      <c r="AC42" s="49">
        <f>+AA42+AC41</f>
        <v>0.67709512628822366</v>
      </c>
      <c r="AD42" s="49"/>
      <c r="AE42" s="49">
        <f>+AC42+AE41</f>
        <v>0.70977407570506923</v>
      </c>
      <c r="AF42" s="49"/>
      <c r="AG42" s="49">
        <f>+AE42+AG41</f>
        <v>0.74294320936316771</v>
      </c>
      <c r="AH42" s="49"/>
      <c r="AI42" s="49">
        <f>+AG42+AI41</f>
        <v>0.7766098800261374</v>
      </c>
      <c r="AJ42" s="49"/>
      <c r="AK42" s="49">
        <f>+AI42+AK41</f>
        <v>0.81078155074905156</v>
      </c>
    </row>
    <row r="43" spans="1:39" ht="24" thickBot="1" x14ac:dyDescent="0.4">
      <c r="A43" s="50"/>
      <c r="B43" s="50"/>
      <c r="C43" s="50"/>
      <c r="D43" s="50"/>
      <c r="E43" s="50"/>
      <c r="F43" s="51" t="str">
        <f t="shared" si="2"/>
        <v>Percentage Increase in Operating Budget</v>
      </c>
      <c r="G43" s="50"/>
      <c r="H43" s="50"/>
      <c r="I43" s="48">
        <f>+I38/I47</f>
        <v>3.3260730801816719E-2</v>
      </c>
      <c r="J43" s="48"/>
      <c r="K43" s="48">
        <f>+K38/I47</f>
        <v>3.3759641763843995E-2</v>
      </c>
      <c r="L43" s="48"/>
      <c r="M43" s="48">
        <f>+M38/I47</f>
        <v>3.4266036390301902E-2</v>
      </c>
      <c r="N43" s="48"/>
      <c r="O43" s="48">
        <f>+O38/I47</f>
        <v>3.4780026936156463E-2</v>
      </c>
      <c r="P43" s="48"/>
      <c r="Q43" s="48">
        <f>+Q38/I47</f>
        <v>3.5301727340198763E-2</v>
      </c>
      <c r="R43" s="48"/>
      <c r="S43" s="48">
        <f>+S38/I47</f>
        <v>3.5831253250301641E-2</v>
      </c>
      <c r="T43" s="48"/>
      <c r="U43" s="48">
        <f>+U38/I47</f>
        <v>3.6368722049056237E-2</v>
      </c>
      <c r="V43" s="48"/>
      <c r="W43" s="48">
        <f>+W38/I47</f>
        <v>3.6914252879792046E-2</v>
      </c>
      <c r="X43" s="48"/>
      <c r="Y43" s="48">
        <f>+Y38/I47</f>
        <v>3.7467966672988684E-2</v>
      </c>
      <c r="Z43" s="48"/>
      <c r="AA43" s="48">
        <f>+AA38/I47</f>
        <v>3.8029986173083487E-2</v>
      </c>
      <c r="AB43" s="48"/>
      <c r="AC43" s="48">
        <f>+AC38/I47</f>
        <v>3.8600435965679795E-2</v>
      </c>
      <c r="AD43" s="48"/>
      <c r="AE43" s="48">
        <f>+AE38/I47</f>
        <v>3.9179442505165002E-2</v>
      </c>
      <c r="AF43" s="48"/>
      <c r="AG43" s="48">
        <f>+AG38/I47</f>
        <v>3.9767134142742751E-2</v>
      </c>
      <c r="AH43" s="48"/>
      <c r="AI43" s="48">
        <f>+AI38/I47</f>
        <v>4.0363641154883563E-2</v>
      </c>
      <c r="AJ43" s="48"/>
      <c r="AK43" s="48">
        <f>+AK38/I47</f>
        <v>4.0969095772206768E-2</v>
      </c>
    </row>
    <row r="44" spans="1:39" ht="23.25" customHeight="1" thickTop="1" x14ac:dyDescent="0.3">
      <c r="AK44" s="43" t="s">
        <v>36</v>
      </c>
    </row>
    <row r="46" spans="1:39" ht="21" x14ac:dyDescent="0.35">
      <c r="AC46" s="296" t="s">
        <v>96</v>
      </c>
      <c r="AG46" s="266" t="s">
        <v>99</v>
      </c>
      <c r="AI46" s="267">
        <f>K21</f>
        <v>29.999999999999773</v>
      </c>
    </row>
    <row r="47" spans="1:39" ht="21" x14ac:dyDescent="0.35">
      <c r="D47" s="263" t="s">
        <v>97</v>
      </c>
      <c r="E47" s="297" t="s">
        <v>102</v>
      </c>
      <c r="F47" s="298"/>
      <c r="G47" s="273" t="s">
        <v>87</v>
      </c>
      <c r="H47" s="259"/>
      <c r="I47" s="260">
        <v>1111</v>
      </c>
      <c r="J47" s="259"/>
      <c r="K47" s="254" t="s">
        <v>88</v>
      </c>
      <c r="L47" s="259"/>
      <c r="M47" s="260">
        <v>111</v>
      </c>
      <c r="N47" s="259"/>
      <c r="O47" s="259"/>
      <c r="P47" s="259"/>
      <c r="Q47" s="254" t="s">
        <v>89</v>
      </c>
      <c r="R47" s="261"/>
      <c r="S47" s="264" t="e">
        <f>SUM(I17:Q17)</f>
        <v>#REF!</v>
      </c>
      <c r="T47" s="258"/>
      <c r="U47" s="254" t="s">
        <v>90</v>
      </c>
      <c r="V47" s="258"/>
      <c r="W47" s="264" t="e">
        <f>SUM(I17:AK17,I34:AK34)</f>
        <v>#REF!</v>
      </c>
      <c r="X47" s="258"/>
      <c r="Y47" s="254" t="s">
        <v>91</v>
      </c>
      <c r="Z47" s="258"/>
      <c r="AA47" s="265" t="e">
        <f>S47/W47</f>
        <v>#REF!</v>
      </c>
      <c r="AB47" s="259"/>
      <c r="AC47" s="296"/>
      <c r="AD47" s="259"/>
      <c r="AE47" s="262">
        <v>0</v>
      </c>
      <c r="AG47" s="266" t="s">
        <v>98</v>
      </c>
      <c r="AI47" s="265">
        <f>K21/I47</f>
        <v>2.7002700270026797E-2</v>
      </c>
    </row>
    <row r="48" spans="1:39" ht="22.5" customHeight="1" x14ac:dyDescent="0.5">
      <c r="D48" s="270" t="s">
        <v>101</v>
      </c>
      <c r="E48" s="269"/>
      <c r="F48" s="271"/>
      <c r="G48" s="274" t="s">
        <v>103</v>
      </c>
      <c r="H48" s="2"/>
      <c r="I48" s="277" t="s">
        <v>104</v>
      </c>
      <c r="K48" s="252"/>
      <c r="L48" s="253"/>
      <c r="M48" s="253"/>
      <c r="N48" s="120"/>
      <c r="O48" s="294"/>
      <c r="P48" s="295"/>
      <c r="Q48" s="295"/>
      <c r="R48" s="295"/>
      <c r="S48" s="295"/>
      <c r="T48" s="120"/>
      <c r="U48" s="120"/>
      <c r="V48" s="120"/>
      <c r="W48" s="294"/>
      <c r="X48" s="294"/>
      <c r="Y48" s="294"/>
      <c r="AG48" s="266" t="s">
        <v>100</v>
      </c>
      <c r="AI48" s="268">
        <f>K24</f>
        <v>2.2522522522522351E-2</v>
      </c>
    </row>
  </sheetData>
  <mergeCells count="6">
    <mergeCell ref="B6:D6"/>
    <mergeCell ref="B7:D7"/>
    <mergeCell ref="O48:S48"/>
    <mergeCell ref="W48:Y48"/>
    <mergeCell ref="AC46:AC47"/>
    <mergeCell ref="E47:F47"/>
  </mergeCells>
  <pageMargins left="0.7" right="0.7" top="0.75" bottom="0.75" header="0.3" footer="0.3"/>
  <pageSetup paperSize="3" scale="47" orientation="landscape" r:id="rId1"/>
  <ignoredErrors>
    <ignoredError sqref="Q5:Q9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6769-1A83-4A23-A773-DA7AA4AC3CE3}">
  <dimension ref="A4:BG49"/>
  <sheetViews>
    <sheetView zoomScale="45" zoomScaleNormal="45" workbookViewId="0">
      <selection activeCell="I17" sqref="I17"/>
    </sheetView>
  </sheetViews>
  <sheetFormatPr defaultRowHeight="15" x14ac:dyDescent="0.25"/>
  <cols>
    <col min="2" max="2" width="1.7109375" customWidth="1"/>
    <col min="3" max="3" width="5" customWidth="1"/>
    <col min="7" max="7" width="48.28515625" customWidth="1"/>
    <col min="8" max="8" width="1.7109375" customWidth="1"/>
    <col min="9" max="9" width="17.7109375" bestFit="1" customWidth="1"/>
    <col min="10" max="10" width="2" customWidth="1"/>
    <col min="11" max="11" width="19.5703125" bestFit="1" customWidth="1"/>
    <col min="12" max="12" width="2.28515625" customWidth="1"/>
    <col min="13" max="13" width="19.5703125" bestFit="1" customWidth="1"/>
    <col min="14" max="14" width="2.140625" customWidth="1"/>
    <col min="15" max="15" width="19.5703125" bestFit="1" customWidth="1"/>
    <col min="16" max="16" width="2" customWidth="1"/>
    <col min="17" max="17" width="19" customWidth="1"/>
    <col min="18" max="18" width="2.140625" customWidth="1"/>
    <col min="19" max="19" width="19.85546875" customWidth="1"/>
    <col min="20" max="20" width="1.5703125" customWidth="1"/>
    <col min="21" max="21" width="21.140625" customWidth="1"/>
    <col min="22" max="22" width="1.5703125" customWidth="1"/>
    <col min="23" max="23" width="19.5703125" bestFit="1" customWidth="1"/>
    <col min="24" max="24" width="2.140625" customWidth="1"/>
    <col min="25" max="25" width="19.5703125" bestFit="1" customWidth="1"/>
    <col min="26" max="26" width="1.85546875" customWidth="1"/>
    <col min="27" max="27" width="19.5703125" bestFit="1" customWidth="1"/>
    <col min="28" max="28" width="2.140625" customWidth="1"/>
    <col min="29" max="29" width="20" bestFit="1" customWidth="1"/>
    <col min="30" max="30" width="2" customWidth="1"/>
    <col min="31" max="31" width="20" bestFit="1" customWidth="1"/>
    <col min="32" max="32" width="2.42578125" customWidth="1"/>
    <col min="33" max="33" width="20" bestFit="1" customWidth="1"/>
    <col min="34" max="34" width="1.7109375" customWidth="1"/>
    <col min="35" max="35" width="20" bestFit="1" customWidth="1"/>
    <col min="36" max="36" width="2.140625" customWidth="1"/>
    <col min="37" max="37" width="20" bestFit="1" customWidth="1"/>
    <col min="38" max="38" width="1.42578125" customWidth="1"/>
    <col min="41" max="41" width="9.5703125" bestFit="1" customWidth="1"/>
  </cols>
  <sheetData>
    <row r="4" spans="1:59" ht="101.25" customHeight="1" x14ac:dyDescent="0.35">
      <c r="Q4" s="20" t="s">
        <v>10</v>
      </c>
      <c r="R4" s="20"/>
      <c r="S4" s="2"/>
      <c r="T4" s="2"/>
      <c r="U4" s="40"/>
      <c r="V4" s="40"/>
    </row>
    <row r="5" spans="1:59" s="2" customFormat="1" ht="23.25" x14ac:dyDescent="0.35">
      <c r="A5" s="40"/>
      <c r="C5" s="12"/>
      <c r="D5" s="12"/>
      <c r="E5" s="40"/>
      <c r="G5" s="8" t="s">
        <v>49</v>
      </c>
      <c r="I5" s="40"/>
      <c r="J5" s="40"/>
      <c r="K5" s="40"/>
      <c r="L5" s="40"/>
      <c r="M5" s="40"/>
      <c r="N5" s="40"/>
      <c r="O5" s="4"/>
      <c r="P5" s="4"/>
      <c r="Q5" s="24" t="s">
        <v>23</v>
      </c>
      <c r="R5" s="24"/>
      <c r="S5" s="58">
        <v>1111</v>
      </c>
      <c r="T5" s="26"/>
      <c r="U5" s="23" t="s">
        <v>75</v>
      </c>
      <c r="V5" s="23"/>
      <c r="W5" s="56"/>
      <c r="Y5" s="56"/>
    </row>
    <row r="6" spans="1:59" s="2" customFormat="1" ht="23.25" x14ac:dyDescent="0.35">
      <c r="A6" s="40"/>
      <c r="B6" s="290"/>
      <c r="C6" s="291"/>
      <c r="D6" s="291"/>
      <c r="E6" s="40"/>
      <c r="G6" s="8"/>
      <c r="I6" s="40"/>
      <c r="J6" s="40"/>
      <c r="K6" s="40"/>
      <c r="L6" s="40"/>
      <c r="M6" s="40"/>
      <c r="N6" s="40"/>
      <c r="O6" s="4"/>
      <c r="P6" s="4"/>
      <c r="Q6" s="24" t="s">
        <v>24</v>
      </c>
      <c r="R6" s="24"/>
      <c r="S6" s="18" t="s">
        <v>40</v>
      </c>
      <c r="T6" s="18"/>
      <c r="U6" s="40"/>
      <c r="V6" s="40"/>
    </row>
    <row r="7" spans="1:59" s="2" customFormat="1" ht="23.25" x14ac:dyDescent="0.35">
      <c r="A7" s="40"/>
      <c r="B7" s="292"/>
      <c r="C7" s="293"/>
      <c r="D7" s="293"/>
      <c r="E7" s="40"/>
      <c r="G7" s="8" t="s">
        <v>14</v>
      </c>
      <c r="I7" s="40"/>
      <c r="J7" s="40"/>
      <c r="K7" s="37"/>
      <c r="L7" s="37"/>
      <c r="M7" s="40"/>
      <c r="N7" s="40"/>
      <c r="O7" s="4"/>
      <c r="P7" s="4"/>
      <c r="Q7" s="24" t="s">
        <v>25</v>
      </c>
      <c r="R7" s="24"/>
      <c r="S7" s="59">
        <v>5.0000000000000001E-3</v>
      </c>
      <c r="T7" s="25"/>
      <c r="U7" s="23" t="s">
        <v>27</v>
      </c>
      <c r="V7" s="23"/>
    </row>
    <row r="8" spans="1:59" s="2" customFormat="1" ht="23.25" x14ac:dyDescent="0.35">
      <c r="A8" s="40"/>
      <c r="C8" s="12"/>
      <c r="D8" s="3"/>
      <c r="E8" s="40"/>
      <c r="I8" s="40"/>
      <c r="J8" s="40"/>
      <c r="K8" s="40"/>
      <c r="L8" s="40"/>
      <c r="M8" s="40"/>
      <c r="N8" s="40"/>
      <c r="O8" s="4"/>
      <c r="P8" s="4"/>
      <c r="Q8" s="24" t="s">
        <v>26</v>
      </c>
      <c r="R8" s="24"/>
      <c r="S8" s="18" t="s">
        <v>76</v>
      </c>
      <c r="T8" s="18"/>
      <c r="U8" s="57"/>
      <c r="V8" s="23"/>
    </row>
    <row r="9" spans="1:59" s="2" customFormat="1" ht="23.25" x14ac:dyDescent="0.35">
      <c r="A9" s="40"/>
      <c r="C9" s="12"/>
      <c r="D9" s="3"/>
      <c r="E9" s="40"/>
      <c r="G9" s="55" t="str">
        <f>+'Roofs 1'!H5</f>
        <v>Association</v>
      </c>
      <c r="I9" s="40"/>
      <c r="J9" s="40"/>
      <c r="K9" s="40"/>
      <c r="L9" s="40"/>
      <c r="M9" s="40"/>
      <c r="N9" s="40"/>
      <c r="O9" s="4"/>
      <c r="P9" s="4"/>
      <c r="Q9" s="24" t="s">
        <v>37</v>
      </c>
      <c r="R9" s="24"/>
      <c r="S9" s="2" t="s">
        <v>42</v>
      </c>
      <c r="U9" s="23"/>
      <c r="V9" s="23"/>
      <c r="AC9" s="56"/>
      <c r="AD9" s="56"/>
      <c r="AE9" s="56"/>
    </row>
    <row r="10" spans="1:59" s="2" customFormat="1" ht="23.25" x14ac:dyDescent="0.35">
      <c r="A10" s="40"/>
      <c r="C10" s="12"/>
      <c r="D10" s="3"/>
      <c r="E10" s="40"/>
      <c r="G10" s="7"/>
      <c r="I10" s="40"/>
      <c r="J10" s="40"/>
      <c r="K10" s="40"/>
      <c r="L10" s="40"/>
      <c r="M10" s="40"/>
      <c r="N10" s="40"/>
      <c r="O10" s="4"/>
      <c r="P10" s="4"/>
      <c r="Q10" s="5"/>
      <c r="R10" s="5"/>
      <c r="S10" s="6"/>
      <c r="T10" s="6"/>
    </row>
    <row r="11" spans="1:59" s="2" customFormat="1" ht="23.25" x14ac:dyDescent="0.35">
      <c r="A11" s="40"/>
      <c r="C11" s="12"/>
      <c r="D11" s="3"/>
      <c r="E11" s="40"/>
      <c r="I11" s="7">
        <v>1</v>
      </c>
      <c r="J11" s="7"/>
      <c r="K11" s="7">
        <v>2</v>
      </c>
      <c r="L11" s="7"/>
      <c r="M11" s="7">
        <v>3</v>
      </c>
      <c r="N11" s="7"/>
      <c r="O11" s="7">
        <v>4</v>
      </c>
      <c r="P11" s="7"/>
      <c r="Q11" s="7">
        <v>5</v>
      </c>
      <c r="R11" s="7"/>
      <c r="S11" s="7">
        <v>6</v>
      </c>
      <c r="T11" s="7"/>
      <c r="U11" s="7">
        <v>7</v>
      </c>
      <c r="V11" s="7"/>
      <c r="W11" s="7">
        <v>8</v>
      </c>
      <c r="X11" s="7"/>
      <c r="Y11" s="7">
        <v>9</v>
      </c>
      <c r="Z11" s="7"/>
      <c r="AA11" s="7">
        <v>10</v>
      </c>
      <c r="AB11" s="7"/>
      <c r="AC11" s="7">
        <v>11</v>
      </c>
      <c r="AD11" s="7"/>
      <c r="AE11" s="7">
        <v>12</v>
      </c>
      <c r="AF11" s="7"/>
      <c r="AG11" s="7">
        <v>13</v>
      </c>
      <c r="AH11" s="7"/>
      <c r="AI11" s="7">
        <v>14</v>
      </c>
      <c r="AJ11" s="7"/>
      <c r="AK11" s="7">
        <v>15</v>
      </c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0"/>
      <c r="AW11" s="10"/>
      <c r="AX11" s="10"/>
      <c r="AY11" s="10"/>
      <c r="AZ11" s="10"/>
      <c r="BA11" s="10"/>
    </row>
    <row r="12" spans="1:59" s="2" customFormat="1" ht="23.25" x14ac:dyDescent="0.35">
      <c r="A12" s="9"/>
      <c r="B12" s="10"/>
      <c r="C12" s="27"/>
      <c r="D12" s="28"/>
      <c r="E12" s="9"/>
      <c r="F12" s="10"/>
      <c r="G12" s="10"/>
      <c r="H12" s="10"/>
      <c r="I12" s="105">
        <v>2016</v>
      </c>
      <c r="J12" s="11"/>
      <c r="K12" s="11">
        <f>+I12+1</f>
        <v>2017</v>
      </c>
      <c r="L12" s="11"/>
      <c r="M12" s="11">
        <f>+K12+1</f>
        <v>2018</v>
      </c>
      <c r="N12" s="11"/>
      <c r="O12" s="11">
        <f>+M12+1</f>
        <v>2019</v>
      </c>
      <c r="P12" s="11"/>
      <c r="Q12" s="11">
        <f>+O12+1</f>
        <v>2020</v>
      </c>
      <c r="R12" s="11"/>
      <c r="S12" s="11">
        <f>+Q12+1</f>
        <v>2021</v>
      </c>
      <c r="T12" s="11"/>
      <c r="U12" s="11">
        <f>+S12+1</f>
        <v>2022</v>
      </c>
      <c r="V12" s="11"/>
      <c r="W12" s="11">
        <f>+U12+1</f>
        <v>2023</v>
      </c>
      <c r="X12" s="11"/>
      <c r="Y12" s="11">
        <f>+W12+1</f>
        <v>2024</v>
      </c>
      <c r="Z12" s="11"/>
      <c r="AA12" s="11">
        <f>+Y12+1</f>
        <v>2025</v>
      </c>
      <c r="AB12" s="11"/>
      <c r="AC12" s="11">
        <f>+AA12+1</f>
        <v>2026</v>
      </c>
      <c r="AD12" s="11"/>
      <c r="AE12" s="11">
        <f>+AC12+1</f>
        <v>2027</v>
      </c>
      <c r="AF12" s="11"/>
      <c r="AG12" s="11">
        <f>+AE12+1</f>
        <v>2028</v>
      </c>
      <c r="AH12" s="11"/>
      <c r="AI12" s="11">
        <f>+AG12+1</f>
        <v>2029</v>
      </c>
      <c r="AJ12" s="11"/>
      <c r="AK12" s="11">
        <f>+AI12+1</f>
        <v>2030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</row>
    <row r="13" spans="1:59" s="2" customFormat="1" ht="23.25" x14ac:dyDescent="0.35">
      <c r="A13" s="62"/>
      <c r="B13" s="63"/>
      <c r="C13" s="65" t="s">
        <v>15</v>
      </c>
      <c r="D13" s="64"/>
      <c r="E13" s="62"/>
      <c r="F13" s="63"/>
      <c r="G13" s="63"/>
      <c r="H13" s="66"/>
      <c r="I13" s="67">
        <f>+S5</f>
        <v>1111</v>
      </c>
      <c r="J13" s="67"/>
      <c r="K13" s="67" t="e">
        <f>I20</f>
        <v>#REF!</v>
      </c>
      <c r="L13" s="67"/>
      <c r="M13" s="67" t="e">
        <f>K20</f>
        <v>#REF!</v>
      </c>
      <c r="N13" s="67"/>
      <c r="O13" s="67" t="e">
        <f>M20</f>
        <v>#REF!</v>
      </c>
      <c r="P13" s="67"/>
      <c r="Q13" s="67" t="e">
        <f>O20</f>
        <v>#REF!</v>
      </c>
      <c r="R13" s="67"/>
      <c r="S13" s="67" t="e">
        <f>Q20</f>
        <v>#REF!</v>
      </c>
      <c r="T13" s="67"/>
      <c r="U13" s="67" t="e">
        <f>S20</f>
        <v>#REF!</v>
      </c>
      <c r="V13" s="67"/>
      <c r="W13" s="67" t="e">
        <f>U20</f>
        <v>#REF!</v>
      </c>
      <c r="X13" s="67"/>
      <c r="Y13" s="67" t="e">
        <f>W20</f>
        <v>#REF!</v>
      </c>
      <c r="Z13" s="67"/>
      <c r="AA13" s="67" t="e">
        <f>Y20</f>
        <v>#REF!</v>
      </c>
      <c r="AB13" s="67"/>
      <c r="AC13" s="67" t="e">
        <f>AA20</f>
        <v>#REF!</v>
      </c>
      <c r="AD13" s="67"/>
      <c r="AE13" s="67" t="e">
        <f>AC20</f>
        <v>#REF!</v>
      </c>
      <c r="AF13" s="67"/>
      <c r="AG13" s="67" t="e">
        <f>AE20</f>
        <v>#REF!</v>
      </c>
      <c r="AH13" s="67"/>
      <c r="AI13" s="67" t="e">
        <f>AG20</f>
        <v>#REF!</v>
      </c>
      <c r="AJ13" s="67"/>
      <c r="AK13" s="67" t="e">
        <f>AI20</f>
        <v>#REF!</v>
      </c>
      <c r="AL13" s="16"/>
      <c r="AM13" s="16"/>
    </row>
    <row r="14" spans="1:59" s="2" customFormat="1" ht="23.25" x14ac:dyDescent="0.35">
      <c r="A14" s="62" t="s">
        <v>19</v>
      </c>
      <c r="B14" s="63"/>
      <c r="C14" s="65" t="s">
        <v>20</v>
      </c>
      <c r="D14" s="64"/>
      <c r="E14" s="62"/>
      <c r="F14" s="63"/>
      <c r="G14" s="63"/>
      <c r="H14" s="63"/>
      <c r="I14" s="73">
        <v>2000</v>
      </c>
      <c r="J14" s="68"/>
      <c r="K14" s="68">
        <f>+I14*(1+K22)</f>
        <v>2029.9999999999998</v>
      </c>
      <c r="L14" s="68"/>
      <c r="M14" s="68">
        <f>+K14*(1+M22)</f>
        <v>2060.4499999999994</v>
      </c>
      <c r="N14" s="68"/>
      <c r="O14" s="68">
        <f>+M14*(1+O22)</f>
        <v>2091.356749999999</v>
      </c>
      <c r="P14" s="68"/>
      <c r="Q14" s="68">
        <f>+O14*(1+Q22)</f>
        <v>2122.7271012499987</v>
      </c>
      <c r="R14" s="68"/>
      <c r="S14" s="68">
        <f>+Q14*(1+S22)</f>
        <v>2154.5680077687484</v>
      </c>
      <c r="T14" s="68"/>
      <c r="U14" s="68">
        <f>+S14*(1+U22)</f>
        <v>2186.8865278852795</v>
      </c>
      <c r="V14" s="68"/>
      <c r="W14" s="68">
        <f>+U14*(1+W22)</f>
        <v>2219.6898258035585</v>
      </c>
      <c r="X14" s="68"/>
      <c r="Y14" s="68">
        <f>+W14*(1+Y22)</f>
        <v>2252.9851731906115</v>
      </c>
      <c r="Z14" s="68"/>
      <c r="AA14" s="68">
        <f>+Y14*(1+AA22)</f>
        <v>2286.7799507884706</v>
      </c>
      <c r="AB14" s="68"/>
      <c r="AC14" s="68">
        <f>+AA14*(1+AC22)</f>
        <v>2321.0816500502974</v>
      </c>
      <c r="AD14" s="68"/>
      <c r="AE14" s="68">
        <f>+AC14*(1+AE22)</f>
        <v>2355.8978748010518</v>
      </c>
      <c r="AF14" s="68"/>
      <c r="AG14" s="68">
        <f>+AE14*(1+AG22)</f>
        <v>2391.2363429230672</v>
      </c>
      <c r="AH14" s="68"/>
      <c r="AI14" s="68">
        <f>+AG14*(1+AI22)</f>
        <v>2427.1048880669132</v>
      </c>
      <c r="AJ14" s="68"/>
      <c r="AK14" s="68">
        <f>+AI14*(1+AK22)</f>
        <v>2463.5114613879168</v>
      </c>
      <c r="AL14" s="16"/>
      <c r="AM14" s="16"/>
    </row>
    <row r="15" spans="1:59" s="2" customFormat="1" ht="23.25" x14ac:dyDescent="0.35">
      <c r="A15" s="62" t="s">
        <v>19</v>
      </c>
      <c r="B15" s="63"/>
      <c r="C15" s="69" t="s">
        <v>44</v>
      </c>
      <c r="D15" s="64"/>
      <c r="E15" s="62"/>
      <c r="F15" s="63"/>
      <c r="G15" s="63"/>
      <c r="H15" s="63"/>
      <c r="I15" s="68">
        <v>0</v>
      </c>
      <c r="J15" s="68"/>
      <c r="K15" s="68">
        <v>0</v>
      </c>
      <c r="L15" s="68"/>
      <c r="M15" s="68">
        <v>0</v>
      </c>
      <c r="N15" s="68"/>
      <c r="O15" s="68">
        <v>0</v>
      </c>
      <c r="P15" s="68"/>
      <c r="Q15" s="68">
        <v>0</v>
      </c>
      <c r="R15" s="68"/>
      <c r="S15" s="68">
        <v>0</v>
      </c>
      <c r="T15" s="68"/>
      <c r="U15" s="68">
        <v>0</v>
      </c>
      <c r="V15" s="68"/>
      <c r="W15" s="68">
        <v>0</v>
      </c>
      <c r="X15" s="68"/>
      <c r="Y15" s="68">
        <v>0</v>
      </c>
      <c r="Z15" s="68"/>
      <c r="AA15" s="68">
        <v>0</v>
      </c>
      <c r="AB15" s="68"/>
      <c r="AC15" s="68">
        <v>0</v>
      </c>
      <c r="AD15" s="68"/>
      <c r="AE15" s="68">
        <v>0</v>
      </c>
      <c r="AF15" s="68"/>
      <c r="AG15" s="68">
        <v>0</v>
      </c>
      <c r="AH15" s="68"/>
      <c r="AI15" s="68">
        <v>0</v>
      </c>
      <c r="AJ15" s="68"/>
      <c r="AK15" s="68">
        <v>0</v>
      </c>
      <c r="AL15" s="16"/>
      <c r="AM15" s="16"/>
    </row>
    <row r="16" spans="1:59" s="2" customFormat="1" ht="23.25" x14ac:dyDescent="0.35">
      <c r="A16" s="40" t="s">
        <v>19</v>
      </c>
      <c r="C16" s="14" t="s">
        <v>34</v>
      </c>
      <c r="D16" s="3"/>
      <c r="E16" s="40"/>
      <c r="I16" s="21">
        <f>IF(-FV(($S$7/12),12,(I14/12),I13,0)-(I13+I14)&gt;0,-FV(($S$7/12),12,(I14/12),I13,0)-(I13+I14),0)</f>
        <v>10.157452951876621</v>
      </c>
      <c r="J16" s="21"/>
      <c r="K16" s="21" t="e">
        <f>IF(-FV(($S$7/12),12,(K14/12),K13,0)-(K13+K14)&gt;0,-FV(($S$7/12),12,(K14/12),K13,0)-(K13+K14),0)</f>
        <v>#REF!</v>
      </c>
      <c r="L16" s="21"/>
      <c r="M16" s="21" t="e">
        <f>IF(-FV(($S$7/12),12,(M14/12),M13,0)-(M13+M14)&gt;0,-FV(($S$7/12),12,(M14/12),M13,0)-(M13+M14),0)</f>
        <v>#REF!</v>
      </c>
      <c r="N16" s="21"/>
      <c r="O16" s="21" t="e">
        <f>IF(-FV(($S$7/12),12,(O14/12),O13,0)-(O13+O14)&gt;0,-FV(($S$7/12),12,(O14/12),O13,0)-(O13+O14),0)</f>
        <v>#REF!</v>
      </c>
      <c r="P16" s="21"/>
      <c r="Q16" s="21" t="e">
        <f>IF(-FV(($S$7/12),12,(Q14/12),Q13,0)-(Q13+Q14)&gt;0,-FV(($S$7/12),12,(Q14/12),Q13,0)-(Q13+Q14),0)</f>
        <v>#REF!</v>
      </c>
      <c r="R16" s="21"/>
      <c r="S16" s="21" t="e">
        <f>IF(-FV(($S$7/12),12,(S14/12),S13,0)-(S13+S14)&gt;0,-FV(($S$7/12),12,(S14/12),S13,0)-(S13+S14),0)</f>
        <v>#REF!</v>
      </c>
      <c r="T16" s="21"/>
      <c r="U16" s="21" t="e">
        <f>IF(-FV(($S$7/12),12,(U14/12),U13,0)-(U13+U14)&gt;0,-FV(($S$7/12),12,(U14/12),U13,0)-(U13+U14),0)</f>
        <v>#REF!</v>
      </c>
      <c r="V16" s="21"/>
      <c r="W16" s="21" t="e">
        <f>IF(-FV(($S$7/12),12,(W14/12),W13,0)-(W13+W14)&gt;0,-FV(($S$7/12),12,(W14/12),W13,0)-(W13+W14),0)</f>
        <v>#REF!</v>
      </c>
      <c r="X16" s="21"/>
      <c r="Y16" s="21" t="e">
        <f>IF(-FV(($S$7/12),12,(Y14/12),Y13,0)-(Y13+Y14)&gt;0,-FV(($S$7/12),12,(Y14/12),Y13,0)-(Y13+Y14),0)</f>
        <v>#REF!</v>
      </c>
      <c r="Z16" s="21"/>
      <c r="AA16" s="21" t="e">
        <f>IF(-FV(($S$7/12),12,(AA14/12),AA13,0)-(AA13+AA14)&gt;0,-FV(($S$7/12),12,(AA14/12),AA13,0)-(AA13+AA14),0)</f>
        <v>#REF!</v>
      </c>
      <c r="AB16" s="21"/>
      <c r="AC16" s="21" t="e">
        <f>IF(-FV(($S$7/12),12,(AC14/12),AC13,0)-(AC13+AC14)&gt;0,-FV(($S$7/12),12,(AC14/12),AC13,0)-(AC13+AC14),0)</f>
        <v>#REF!</v>
      </c>
      <c r="AD16" s="21"/>
      <c r="AE16" s="21" t="e">
        <f>IF(-FV(($S$7/12),12,(AE14/12),AE13,0)-(AE13+AE14)&gt;0,-FV(($S$7/12),12,(AE14/12),AE13,0)-(AE13+AE14),0)</f>
        <v>#REF!</v>
      </c>
      <c r="AF16" s="21"/>
      <c r="AG16" s="21" t="e">
        <f>IF(-FV(($S$7/12),12,(AG14/12),AG13,0)-(AG13+AG14)&gt;0,-FV(($S$7/12),12,(AG14/12),AG13,0)-(AG13+AG14),0)</f>
        <v>#REF!</v>
      </c>
      <c r="AH16" s="21"/>
      <c r="AI16" s="21" t="e">
        <f>IF(-FV(($S$7/12),12,(AI14/12),AI13,0)-(AI13+AI14)&gt;0,-FV(($S$7/12),12,(AI14/12),AI13,0)-(AI13+AI14),0)</f>
        <v>#REF!</v>
      </c>
      <c r="AJ16" s="21"/>
      <c r="AK16" s="21" t="e">
        <f>IF(-FV(($S$7/12),12,(AK14/12),AK13,0)-(AK13+AK14)&gt;0,-FV(($S$7/12),12,(AK14/12),AK13,0)-(AK13+AK14),0)</f>
        <v>#REF!</v>
      </c>
      <c r="AL16" s="16"/>
      <c r="AM16" s="16"/>
    </row>
    <row r="17" spans="1:39" s="2" customFormat="1" ht="23.25" x14ac:dyDescent="0.35">
      <c r="A17" s="40" t="s">
        <v>18</v>
      </c>
      <c r="C17" s="14" t="s">
        <v>7</v>
      </c>
      <c r="D17" s="3"/>
      <c r="E17" s="40"/>
      <c r="I17" s="233" t="e">
        <f>-SUM('Roofs 1'!X52+#REF!+#REF!+#REF!+'Maintain (PRN) 1'!W38+'Maintain (PRN) 2'!W38+'Combo 1'!W56+'Combo 2'!W32)</f>
        <v>#REF!</v>
      </c>
      <c r="K17" s="53" t="e">
        <f>-SUM('Roofs 1'!Z52+#REF!+#REF!+#REF!+'Maintain (PRN) 1'!Y38+'Maintain (PRN) 2'!Y38+'Combo 1'!Y56+'Combo 2'!Y32)</f>
        <v>#REF!</v>
      </c>
      <c r="M17" s="53" t="e">
        <f>-SUM('Roofs 1'!AB52+#REF!+#REF!+#REF!+'Maintain (PRN) 1'!AA38+'Maintain (PRN) 2'!AA38+'Combo 1'!AA56+'Combo 2'!AA32)</f>
        <v>#REF!</v>
      </c>
      <c r="O17" s="53" t="e">
        <f>-SUM('Roofs 1'!AD52+#REF!+#REF!+#REF!+'Maintain (PRN) 1'!AC38+'Maintain (PRN) 2'!AC38+'Combo 1'!AC56+'Combo 2'!AC32)</f>
        <v>#REF!</v>
      </c>
      <c r="Q17" s="53" t="e">
        <f>-SUM('Roofs 1'!AF52+#REF!+#REF!+#REF!+'Maintain (PRN) 1'!AE38+'Maintain (PRN) 2'!AE38+'Combo 1'!AE56+'Combo 2'!AE32)</f>
        <v>#REF!</v>
      </c>
      <c r="S17" s="53" t="e">
        <f>-SUM('Roofs 1'!AH52+#REF!+#REF!+#REF!+'Maintain (PRN) 1'!AG38+'Maintain (PRN) 2'!AG38+'Combo 1'!AG56+'Combo 2'!AG32)</f>
        <v>#REF!</v>
      </c>
      <c r="U17" s="53" t="e">
        <f>-SUM('Roofs 1'!AJ52+#REF!+#REF!+#REF!+'Maintain (PRN) 1'!AI38+'Maintain (PRN) 2'!AI38+'Combo 1'!AI56+'Combo 2'!AI32)</f>
        <v>#REF!</v>
      </c>
      <c r="W17" s="53" t="e">
        <f>-SUM('Roofs 1'!AL52+#REF!+#REF!+#REF!+'Maintain (PRN) 1'!AK38+'Maintain (PRN) 2'!AK38+'Combo 1'!AK56+'Combo 2'!AK32)</f>
        <v>#REF!</v>
      </c>
      <c r="Y17" s="53" t="e">
        <f>-SUM('Roofs 1'!AN52+#REF!+#REF!+#REF!+'Maintain (PRN) 1'!AM38+'Maintain (PRN) 2'!AM38+'Combo 1'!AM56+'Combo 2'!AM32)</f>
        <v>#REF!</v>
      </c>
      <c r="AA17" s="53" t="e">
        <f>-SUM('Roofs 1'!AP52+#REF!+#REF!+#REF!+'Maintain (PRN) 1'!AO38+'Maintain (PRN) 2'!AO38+'Combo 1'!AO56+'Combo 2'!AO32)</f>
        <v>#REF!</v>
      </c>
      <c r="AC17" s="53" t="e">
        <f>-SUM('Roofs 1'!AR52+#REF!+#REF!+#REF!+'Maintain (PRN) 1'!AQ38+'Maintain (PRN) 2'!AQ38+'Combo 1'!AQ56+'Combo 2'!AQ32)</f>
        <v>#REF!</v>
      </c>
      <c r="AE17" s="53" t="e">
        <f>-SUM('Roofs 1'!AT52+#REF!+#REF!+#REF!+'Maintain (PRN) 1'!AS38+'Maintain (PRN) 2'!AS38+'Combo 1'!AS56+'Combo 2'!AS32)</f>
        <v>#REF!</v>
      </c>
      <c r="AG17" s="53" t="e">
        <f>-SUM('Roofs 1'!AV52+#REF!+#REF!+#REF!+'Maintain (PRN) 1'!AU38+'Maintain (PRN) 2'!AU38+'Combo 1'!AU56+'Combo 2'!AU32)</f>
        <v>#REF!</v>
      </c>
      <c r="AI17" s="53" t="e">
        <f>-SUM('Roofs 1'!AX52+#REF!+#REF!+#REF!+'Maintain (PRN) 1'!AW38+'Maintain (PRN) 2'!AW38+'Combo 1'!AW56+'Combo 2'!AW32)</f>
        <v>#REF!</v>
      </c>
      <c r="AK17" s="53" t="e">
        <f>-SUM('Roofs 1'!AZ52+#REF!+#REF!+#REF!+'Maintain (PRN) 1'!AY38+'Maintain (PRN) 2'!AY38+'Combo 1'!AY56+'Combo 2'!AY32)</f>
        <v>#REF!</v>
      </c>
      <c r="AL17" s="16"/>
      <c r="AM17" s="16"/>
    </row>
    <row r="18" spans="1:39" s="2" customFormat="1" ht="11.65" customHeight="1" x14ac:dyDescent="0.35">
      <c r="A18" s="40"/>
      <c r="C18" s="14"/>
      <c r="D18" s="3"/>
      <c r="E18" s="40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6"/>
      <c r="AM18" s="16"/>
    </row>
    <row r="19" spans="1:39" s="2" customFormat="1" ht="11.65" customHeight="1" x14ac:dyDescent="0.35">
      <c r="A19" s="40"/>
      <c r="C19" s="14"/>
      <c r="D19" s="3"/>
      <c r="E19" s="40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"/>
      <c r="AM19" s="16"/>
    </row>
    <row r="20" spans="1:39" s="2" customFormat="1" ht="23.25" x14ac:dyDescent="0.35">
      <c r="A20" s="62"/>
      <c r="B20" s="63"/>
      <c r="C20" s="65" t="s">
        <v>38</v>
      </c>
      <c r="D20" s="64"/>
      <c r="E20" s="62"/>
      <c r="F20" s="63"/>
      <c r="G20" s="63"/>
      <c r="H20" s="70"/>
      <c r="I20" s="71" t="e">
        <f t="shared" ref="I20:AK20" si="0">SUM(I13:I17)</f>
        <v>#REF!</v>
      </c>
      <c r="J20" s="71"/>
      <c r="K20" s="71" t="e">
        <f t="shared" si="0"/>
        <v>#REF!</v>
      </c>
      <c r="L20" s="71"/>
      <c r="M20" s="71" t="e">
        <f t="shared" si="0"/>
        <v>#REF!</v>
      </c>
      <c r="N20" s="71"/>
      <c r="O20" s="71" t="e">
        <f t="shared" si="0"/>
        <v>#REF!</v>
      </c>
      <c r="P20" s="71"/>
      <c r="Q20" s="71" t="e">
        <f t="shared" si="0"/>
        <v>#REF!</v>
      </c>
      <c r="R20" s="71"/>
      <c r="S20" s="71" t="e">
        <f t="shared" si="0"/>
        <v>#REF!</v>
      </c>
      <c r="T20" s="71"/>
      <c r="U20" s="71" t="e">
        <f t="shared" si="0"/>
        <v>#REF!</v>
      </c>
      <c r="V20" s="71"/>
      <c r="W20" s="71" t="e">
        <f t="shared" si="0"/>
        <v>#REF!</v>
      </c>
      <c r="X20" s="71"/>
      <c r="Y20" s="71" t="e">
        <f t="shared" si="0"/>
        <v>#REF!</v>
      </c>
      <c r="Z20" s="71"/>
      <c r="AA20" s="71" t="e">
        <f t="shared" si="0"/>
        <v>#REF!</v>
      </c>
      <c r="AB20" s="71"/>
      <c r="AC20" s="71" t="e">
        <f t="shared" si="0"/>
        <v>#REF!</v>
      </c>
      <c r="AD20" s="71"/>
      <c r="AE20" s="71" t="e">
        <f t="shared" si="0"/>
        <v>#REF!</v>
      </c>
      <c r="AF20" s="71"/>
      <c r="AG20" s="71" t="e">
        <f t="shared" si="0"/>
        <v>#REF!</v>
      </c>
      <c r="AH20" s="71"/>
      <c r="AI20" s="71" t="e">
        <f t="shared" si="0"/>
        <v>#REF!</v>
      </c>
      <c r="AJ20" s="71"/>
      <c r="AK20" s="71" t="e">
        <f t="shared" si="0"/>
        <v>#REF!</v>
      </c>
      <c r="AL20" s="16"/>
      <c r="AM20" s="16"/>
    </row>
    <row r="21" spans="1:39" s="2" customFormat="1" ht="23.25" x14ac:dyDescent="0.35">
      <c r="A21" s="40"/>
      <c r="C21" s="14"/>
      <c r="D21" s="3"/>
      <c r="E21" s="40"/>
      <c r="F21" s="2" t="s">
        <v>28</v>
      </c>
      <c r="H21" s="16"/>
      <c r="I21" s="41" t="s">
        <v>39</v>
      </c>
      <c r="J21" s="41"/>
      <c r="K21" s="29">
        <f>+K14-I14</f>
        <v>29.999999999999773</v>
      </c>
      <c r="L21" s="29"/>
      <c r="M21" s="29">
        <f>+M14-K14</f>
        <v>30.449999999999591</v>
      </c>
      <c r="N21" s="29"/>
      <c r="O21" s="29">
        <f>+O14-M14</f>
        <v>30.906749999999647</v>
      </c>
      <c r="P21" s="29"/>
      <c r="Q21" s="29">
        <f>+Q14-O14</f>
        <v>31.370351249999658</v>
      </c>
      <c r="R21" s="29"/>
      <c r="S21" s="29">
        <f>+S14-Q14</f>
        <v>31.840906518749762</v>
      </c>
      <c r="T21" s="29"/>
      <c r="U21" s="29">
        <f>+U14-S14</f>
        <v>32.31852011653109</v>
      </c>
      <c r="V21" s="29"/>
      <c r="W21" s="29">
        <f>+W14-U14</f>
        <v>32.803297918278986</v>
      </c>
      <c r="X21" s="29"/>
      <c r="Y21" s="29">
        <f>+Y14-W14</f>
        <v>33.295347387052971</v>
      </c>
      <c r="Z21" s="29"/>
      <c r="AA21" s="29">
        <f>+AA14-Y14</f>
        <v>33.794777597859138</v>
      </c>
      <c r="AB21" s="29"/>
      <c r="AC21" s="29">
        <f>+AC14-AA14</f>
        <v>34.301699261826798</v>
      </c>
      <c r="AD21" s="29"/>
      <c r="AE21" s="29">
        <f>+AE14-AC14</f>
        <v>34.816224750754373</v>
      </c>
      <c r="AF21" s="29"/>
      <c r="AG21" s="29">
        <f>+AG14-AE14</f>
        <v>35.338468122015456</v>
      </c>
      <c r="AH21" s="29"/>
      <c r="AI21" s="29">
        <f>+AI14-AG14</f>
        <v>35.868545143845949</v>
      </c>
      <c r="AJ21" s="29"/>
      <c r="AK21" s="29">
        <f>+AK14-AI14</f>
        <v>36.406573321003634</v>
      </c>
      <c r="AL21" s="16"/>
      <c r="AM21" s="16"/>
    </row>
    <row r="22" spans="1:39" s="2" customFormat="1" ht="23.25" x14ac:dyDescent="0.35">
      <c r="A22" s="40"/>
      <c r="C22" s="14"/>
      <c r="D22" s="3"/>
      <c r="E22" s="40"/>
      <c r="F22" s="2" t="s">
        <v>33</v>
      </c>
      <c r="H22" s="16"/>
      <c r="I22" s="39" t="s">
        <v>39</v>
      </c>
      <c r="J22" s="39"/>
      <c r="K22" s="61">
        <v>1.4999999999999999E-2</v>
      </c>
      <c r="L22" s="34"/>
      <c r="M22" s="34">
        <f>K22</f>
        <v>1.4999999999999999E-2</v>
      </c>
      <c r="N22" s="34"/>
      <c r="O22" s="34">
        <f>M22</f>
        <v>1.4999999999999999E-2</v>
      </c>
      <c r="P22" s="34"/>
      <c r="Q22" s="34">
        <f>O22</f>
        <v>1.4999999999999999E-2</v>
      </c>
      <c r="R22" s="34"/>
      <c r="S22" s="34">
        <f>Q22</f>
        <v>1.4999999999999999E-2</v>
      </c>
      <c r="T22" s="34"/>
      <c r="U22" s="34">
        <f>S22</f>
        <v>1.4999999999999999E-2</v>
      </c>
      <c r="V22" s="34"/>
      <c r="W22" s="34">
        <f>U22</f>
        <v>1.4999999999999999E-2</v>
      </c>
      <c r="X22" s="34"/>
      <c r="Y22" s="34">
        <f>W22</f>
        <v>1.4999999999999999E-2</v>
      </c>
      <c r="Z22" s="34"/>
      <c r="AA22" s="34">
        <f>Y22</f>
        <v>1.4999999999999999E-2</v>
      </c>
      <c r="AB22" s="34"/>
      <c r="AC22" s="34">
        <f>AA22</f>
        <v>1.4999999999999999E-2</v>
      </c>
      <c r="AD22" s="34"/>
      <c r="AE22" s="34">
        <f>AC22</f>
        <v>1.4999999999999999E-2</v>
      </c>
      <c r="AF22" s="34"/>
      <c r="AG22" s="34">
        <f>AE22</f>
        <v>1.4999999999999999E-2</v>
      </c>
      <c r="AH22" s="34"/>
      <c r="AI22" s="34">
        <f>AG22</f>
        <v>1.4999999999999999E-2</v>
      </c>
      <c r="AJ22" s="34"/>
      <c r="AK22" s="34">
        <f>AI22</f>
        <v>1.4999999999999999E-2</v>
      </c>
      <c r="AL22" s="16"/>
      <c r="AM22" s="16"/>
    </row>
    <row r="23" spans="1:39" s="2" customFormat="1" ht="23.25" x14ac:dyDescent="0.35">
      <c r="A23" s="40"/>
      <c r="C23" s="14"/>
      <c r="D23" s="3"/>
      <c r="E23" s="40"/>
      <c r="F23" s="2" t="s">
        <v>41</v>
      </c>
      <c r="H23" s="16"/>
      <c r="I23" s="39" t="s">
        <v>39</v>
      </c>
      <c r="J23" s="39"/>
      <c r="K23" s="49">
        <f>+K15/37</f>
        <v>0</v>
      </c>
      <c r="L23" s="49"/>
      <c r="M23" s="49">
        <f t="shared" ref="M23:AK23" si="1">+M15/37</f>
        <v>0</v>
      </c>
      <c r="N23" s="49"/>
      <c r="O23" s="49">
        <f t="shared" si="1"/>
        <v>0</v>
      </c>
      <c r="P23" s="49"/>
      <c r="Q23" s="49">
        <f t="shared" si="1"/>
        <v>0</v>
      </c>
      <c r="R23" s="49"/>
      <c r="S23" s="49">
        <f t="shared" si="1"/>
        <v>0</v>
      </c>
      <c r="T23" s="49"/>
      <c r="U23" s="49">
        <f t="shared" si="1"/>
        <v>0</v>
      </c>
      <c r="V23" s="49"/>
      <c r="W23" s="49">
        <f t="shared" si="1"/>
        <v>0</v>
      </c>
      <c r="X23" s="49"/>
      <c r="Y23" s="49">
        <f t="shared" si="1"/>
        <v>0</v>
      </c>
      <c r="Z23" s="49"/>
      <c r="AA23" s="49">
        <f t="shared" si="1"/>
        <v>0</v>
      </c>
      <c r="AB23" s="49"/>
      <c r="AC23" s="49">
        <f t="shared" si="1"/>
        <v>0</v>
      </c>
      <c r="AD23" s="49"/>
      <c r="AE23" s="49">
        <f t="shared" si="1"/>
        <v>0</v>
      </c>
      <c r="AF23" s="49"/>
      <c r="AG23" s="49">
        <f t="shared" si="1"/>
        <v>0</v>
      </c>
      <c r="AH23" s="49"/>
      <c r="AI23" s="49">
        <f t="shared" si="1"/>
        <v>0</v>
      </c>
      <c r="AJ23" s="49"/>
      <c r="AK23" s="49">
        <f t="shared" si="1"/>
        <v>0</v>
      </c>
      <c r="AL23" s="16"/>
      <c r="AM23" s="16"/>
    </row>
    <row r="24" spans="1:39" s="2" customFormat="1" ht="23.25" x14ac:dyDescent="0.35">
      <c r="A24" s="9"/>
      <c r="B24" s="10"/>
      <c r="C24" s="33"/>
      <c r="D24" s="28"/>
      <c r="E24" s="9"/>
      <c r="F24" s="10" t="s">
        <v>29</v>
      </c>
      <c r="G24" s="10"/>
      <c r="H24" s="10"/>
      <c r="I24" s="42" t="s">
        <v>39</v>
      </c>
      <c r="J24" s="42"/>
      <c r="K24" s="130">
        <f>(+K21/12)/111</f>
        <v>2.2522522522522351E-2</v>
      </c>
      <c r="L24" s="130"/>
      <c r="M24" s="130">
        <f t="shared" ref="M24:AK24" si="2">(+M21/57)/12</f>
        <v>4.4517543859648519E-2</v>
      </c>
      <c r="N24" s="130"/>
      <c r="O24" s="130">
        <f t="shared" si="2"/>
        <v>4.5185307017543343E-2</v>
      </c>
      <c r="P24" s="130"/>
      <c r="Q24" s="130">
        <f t="shared" si="2"/>
        <v>4.5863086622806519E-2</v>
      </c>
      <c r="R24" s="130"/>
      <c r="S24" s="130">
        <f t="shared" si="2"/>
        <v>4.6551032922148773E-2</v>
      </c>
      <c r="T24" s="130"/>
      <c r="U24" s="130">
        <f t="shared" si="2"/>
        <v>4.7249298415981127E-2</v>
      </c>
      <c r="V24" s="130"/>
      <c r="W24" s="130">
        <f t="shared" si="2"/>
        <v>4.7958037892220744E-2</v>
      </c>
      <c r="X24" s="130"/>
      <c r="Y24" s="130">
        <f t="shared" si="2"/>
        <v>4.8677408460603755E-2</v>
      </c>
      <c r="Z24" s="130"/>
      <c r="AA24" s="130">
        <f t="shared" si="2"/>
        <v>4.9407569587513356E-2</v>
      </c>
      <c r="AB24" s="130"/>
      <c r="AC24" s="130">
        <f t="shared" si="2"/>
        <v>5.0148683131325728E-2</v>
      </c>
      <c r="AD24" s="130"/>
      <c r="AE24" s="130">
        <f t="shared" si="2"/>
        <v>5.0900913378295866E-2</v>
      </c>
      <c r="AF24" s="130"/>
      <c r="AG24" s="130">
        <f t="shared" si="2"/>
        <v>5.1664427078969961E-2</v>
      </c>
      <c r="AH24" s="130"/>
      <c r="AI24" s="130">
        <f t="shared" si="2"/>
        <v>5.2439393485154896E-2</v>
      </c>
      <c r="AJ24" s="130"/>
      <c r="AK24" s="130">
        <f t="shared" si="2"/>
        <v>5.3225984387432208E-2</v>
      </c>
      <c r="AL24" s="129"/>
      <c r="AM24" s="16"/>
    </row>
    <row r="25" spans="1:39" s="2" customFormat="1" ht="23.25" x14ac:dyDescent="0.35">
      <c r="A25" s="9"/>
      <c r="B25" s="10"/>
      <c r="C25" s="33"/>
      <c r="D25" s="28"/>
      <c r="E25" s="9"/>
      <c r="F25" s="10" t="s">
        <v>35</v>
      </c>
      <c r="G25" s="10"/>
      <c r="H25" s="10"/>
      <c r="I25" s="42" t="str">
        <f>+I24</f>
        <v>N/A</v>
      </c>
      <c r="J25" s="42"/>
      <c r="K25" s="49">
        <f>+K24</f>
        <v>2.2522522522522351E-2</v>
      </c>
      <c r="L25" s="49"/>
      <c r="M25" s="49">
        <f>+M24+K25</f>
        <v>6.7040066382170874E-2</v>
      </c>
      <c r="N25" s="49"/>
      <c r="O25" s="49">
        <f>+O24+M25</f>
        <v>0.11222537339971422</v>
      </c>
      <c r="P25" s="49"/>
      <c r="Q25" s="49">
        <f>+Q24+O25</f>
        <v>0.15808846002252075</v>
      </c>
      <c r="R25" s="49"/>
      <c r="S25" s="49">
        <f>+S24+Q25</f>
        <v>0.20463949294466952</v>
      </c>
      <c r="T25" s="49"/>
      <c r="U25" s="49">
        <f>+U24+S25</f>
        <v>0.25188879136065062</v>
      </c>
      <c r="V25" s="49"/>
      <c r="W25" s="49">
        <f>+W24+U25</f>
        <v>0.29984682925287137</v>
      </c>
      <c r="X25" s="49"/>
      <c r="Y25" s="49">
        <f>+Y24+W25</f>
        <v>0.34852423771347513</v>
      </c>
      <c r="Z25" s="49"/>
      <c r="AA25" s="49">
        <f>+AA24+Y25</f>
        <v>0.39793180730098848</v>
      </c>
      <c r="AB25" s="49"/>
      <c r="AC25" s="49">
        <f>+AC24+AA25</f>
        <v>0.44808049043231424</v>
      </c>
      <c r="AD25" s="49"/>
      <c r="AE25" s="49">
        <f>+AE24+AC25</f>
        <v>0.49898140381061012</v>
      </c>
      <c r="AF25" s="49"/>
      <c r="AG25" s="49">
        <f>+AG24+AE25</f>
        <v>0.55064583088958008</v>
      </c>
      <c r="AH25" s="49"/>
      <c r="AI25" s="49">
        <f>+AI24+AG25</f>
        <v>0.603085224374735</v>
      </c>
      <c r="AJ25" s="49"/>
      <c r="AK25" s="49">
        <f>+AK24+AI25</f>
        <v>0.6563112087621672</v>
      </c>
      <c r="AL25" s="16"/>
      <c r="AM25" s="16"/>
    </row>
    <row r="26" spans="1:39" s="2" customFormat="1" ht="24" thickBot="1" x14ac:dyDescent="0.4">
      <c r="A26" s="45"/>
      <c r="B26" s="46"/>
      <c r="C26" s="47"/>
      <c r="D26" s="36"/>
      <c r="E26" s="45"/>
      <c r="F26" s="46" t="s">
        <v>43</v>
      </c>
      <c r="G26" s="46"/>
      <c r="H26" s="46"/>
      <c r="I26" s="44" t="s">
        <v>39</v>
      </c>
      <c r="J26" s="44"/>
      <c r="K26" s="134">
        <f>+K21/1111111</f>
        <v>2.7000002700000067E-5</v>
      </c>
      <c r="L26" s="134"/>
      <c r="M26" s="134">
        <f t="shared" ref="M26:AK26" si="3">+M21/199464</f>
        <v>1.5265912645890783E-4</v>
      </c>
      <c r="N26" s="134"/>
      <c r="O26" s="134">
        <f t="shared" si="3"/>
        <v>1.5494901335579177E-4</v>
      </c>
      <c r="P26" s="134"/>
      <c r="Q26" s="134">
        <f t="shared" si="3"/>
        <v>1.5727324855612871E-4</v>
      </c>
      <c r="R26" s="134"/>
      <c r="S26" s="134">
        <f t="shared" si="3"/>
        <v>1.5963234728447119E-4</v>
      </c>
      <c r="T26" s="134"/>
      <c r="U26" s="134">
        <f t="shared" si="3"/>
        <v>1.6202683249373867E-4</v>
      </c>
      <c r="V26" s="134"/>
      <c r="W26" s="134">
        <f t="shared" si="3"/>
        <v>1.6445723498114439E-4</v>
      </c>
      <c r="X26" s="134"/>
      <c r="Y26" s="134">
        <f t="shared" si="3"/>
        <v>1.6692409350586057E-4</v>
      </c>
      <c r="Z26" s="134"/>
      <c r="AA26" s="134">
        <f t="shared" si="3"/>
        <v>1.6942795490845034E-4</v>
      </c>
      <c r="AB26" s="134"/>
      <c r="AC26" s="134">
        <f t="shared" si="3"/>
        <v>1.7196937423207594E-4</v>
      </c>
      <c r="AD26" s="134"/>
      <c r="AE26" s="134">
        <f t="shared" si="3"/>
        <v>1.7454891484555796E-4</v>
      </c>
      <c r="AF26" s="134"/>
      <c r="AG26" s="134">
        <f t="shared" si="3"/>
        <v>1.7716714856824017E-4</v>
      </c>
      <c r="AH26" s="134"/>
      <c r="AI26" s="134">
        <f t="shared" si="3"/>
        <v>1.7982465579676507E-4</v>
      </c>
      <c r="AJ26" s="134"/>
      <c r="AK26" s="134">
        <f t="shared" si="3"/>
        <v>1.8252202563371654E-4</v>
      </c>
      <c r="AL26" s="16"/>
      <c r="AM26" s="16"/>
    </row>
    <row r="27" spans="1:39" s="2" customFormat="1" ht="24" thickTop="1" x14ac:dyDescent="0.35">
      <c r="A27" s="9"/>
      <c r="B27" s="10"/>
      <c r="C27" s="27"/>
      <c r="D27" s="28"/>
      <c r="E27" s="9"/>
      <c r="F27" s="10"/>
      <c r="G27" s="10"/>
      <c r="H27" s="10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2"/>
      <c r="T27" s="32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16"/>
      <c r="AM27" s="16"/>
    </row>
    <row r="28" spans="1:39" s="2" customFormat="1" ht="23.25" x14ac:dyDescent="0.35">
      <c r="A28" s="40"/>
      <c r="C28" s="12"/>
      <c r="D28" s="3"/>
      <c r="E28" s="40"/>
      <c r="I28" s="19">
        <v>16</v>
      </c>
      <c r="J28" s="19"/>
      <c r="K28" s="19">
        <v>17</v>
      </c>
      <c r="L28" s="19"/>
      <c r="M28" s="19">
        <v>18</v>
      </c>
      <c r="N28" s="19"/>
      <c r="O28" s="19">
        <v>19</v>
      </c>
      <c r="P28" s="19"/>
      <c r="Q28" s="19">
        <v>20</v>
      </c>
      <c r="R28" s="19"/>
      <c r="S28" s="19">
        <v>21</v>
      </c>
      <c r="T28" s="19"/>
      <c r="U28" s="19">
        <v>22</v>
      </c>
      <c r="V28" s="19"/>
      <c r="W28" s="19">
        <v>23</v>
      </c>
      <c r="X28" s="19"/>
      <c r="Y28" s="19">
        <v>24</v>
      </c>
      <c r="Z28" s="19"/>
      <c r="AA28" s="19">
        <v>25</v>
      </c>
      <c r="AB28" s="19"/>
      <c r="AC28" s="19">
        <v>26</v>
      </c>
      <c r="AD28" s="19"/>
      <c r="AE28" s="19">
        <v>27</v>
      </c>
      <c r="AF28" s="19"/>
      <c r="AG28" s="19">
        <v>28</v>
      </c>
      <c r="AH28" s="19"/>
      <c r="AI28" s="19">
        <v>29</v>
      </c>
      <c r="AJ28" s="19"/>
      <c r="AK28" s="19">
        <v>30</v>
      </c>
      <c r="AL28" s="16"/>
      <c r="AM28" s="16"/>
    </row>
    <row r="29" spans="1:39" s="2" customFormat="1" ht="23.25" x14ac:dyDescent="0.35">
      <c r="A29" s="9"/>
      <c r="B29" s="10"/>
      <c r="C29" s="27"/>
      <c r="D29" s="28"/>
      <c r="E29" s="9"/>
      <c r="F29" s="10"/>
      <c r="G29" s="10"/>
      <c r="H29" s="10"/>
      <c r="I29" s="38">
        <f>+AK12+1</f>
        <v>2031</v>
      </c>
      <c r="J29" s="38"/>
      <c r="K29" s="38">
        <f>+I29+1</f>
        <v>2032</v>
      </c>
      <c r="L29" s="38"/>
      <c r="M29" s="38">
        <f>+K29+1</f>
        <v>2033</v>
      </c>
      <c r="N29" s="38"/>
      <c r="O29" s="38">
        <f>+M29+1</f>
        <v>2034</v>
      </c>
      <c r="P29" s="38"/>
      <c r="Q29" s="38">
        <f>+O29+1</f>
        <v>2035</v>
      </c>
      <c r="R29" s="38"/>
      <c r="S29" s="38">
        <f>+Q29+1</f>
        <v>2036</v>
      </c>
      <c r="T29" s="38"/>
      <c r="U29" s="38">
        <f>+S29+1</f>
        <v>2037</v>
      </c>
      <c r="V29" s="38"/>
      <c r="W29" s="38">
        <f>+U29+1</f>
        <v>2038</v>
      </c>
      <c r="X29" s="38"/>
      <c r="Y29" s="38">
        <f>+W29+1</f>
        <v>2039</v>
      </c>
      <c r="Z29" s="38"/>
      <c r="AA29" s="38">
        <f>+Y29+1</f>
        <v>2040</v>
      </c>
      <c r="AB29" s="38"/>
      <c r="AC29" s="38">
        <f>+AA29+1</f>
        <v>2041</v>
      </c>
      <c r="AD29" s="38"/>
      <c r="AE29" s="38">
        <f>+AC29+1</f>
        <v>2042</v>
      </c>
      <c r="AF29" s="38"/>
      <c r="AG29" s="38">
        <f>+AE29+1</f>
        <v>2043</v>
      </c>
      <c r="AH29" s="38"/>
      <c r="AI29" s="38">
        <f>+AG29+1</f>
        <v>2044</v>
      </c>
      <c r="AJ29" s="38"/>
      <c r="AK29" s="38">
        <f>+AI29+1</f>
        <v>2045</v>
      </c>
      <c r="AL29" s="16"/>
      <c r="AM29" s="16"/>
    </row>
    <row r="30" spans="1:39" s="2" customFormat="1" ht="23.25" x14ac:dyDescent="0.35">
      <c r="A30" s="62"/>
      <c r="B30" s="63"/>
      <c r="C30" s="65" t="s">
        <v>15</v>
      </c>
      <c r="D30" s="64"/>
      <c r="E30" s="62"/>
      <c r="F30" s="63"/>
      <c r="G30" s="63"/>
      <c r="H30" s="63"/>
      <c r="I30" s="67" t="e">
        <f>AK20</f>
        <v>#REF!</v>
      </c>
      <c r="J30" s="67"/>
      <c r="K30" s="67" t="e">
        <f>I37</f>
        <v>#REF!</v>
      </c>
      <c r="L30" s="67"/>
      <c r="M30" s="67" t="e">
        <f>K37</f>
        <v>#REF!</v>
      </c>
      <c r="N30" s="67"/>
      <c r="O30" s="67" t="e">
        <f>M37</f>
        <v>#REF!</v>
      </c>
      <c r="P30" s="67"/>
      <c r="Q30" s="67" t="e">
        <f>O37</f>
        <v>#REF!</v>
      </c>
      <c r="R30" s="67"/>
      <c r="S30" s="67" t="e">
        <f>Q37</f>
        <v>#REF!</v>
      </c>
      <c r="T30" s="67"/>
      <c r="U30" s="67" t="e">
        <f>S37</f>
        <v>#REF!</v>
      </c>
      <c r="V30" s="67"/>
      <c r="W30" s="67" t="e">
        <f>U37</f>
        <v>#REF!</v>
      </c>
      <c r="X30" s="67"/>
      <c r="Y30" s="67" t="e">
        <f>W37</f>
        <v>#REF!</v>
      </c>
      <c r="Z30" s="67"/>
      <c r="AA30" s="67" t="e">
        <f>Y37</f>
        <v>#REF!</v>
      </c>
      <c r="AB30" s="67"/>
      <c r="AC30" s="67" t="e">
        <f>AA37</f>
        <v>#REF!</v>
      </c>
      <c r="AD30" s="67"/>
      <c r="AE30" s="67" t="e">
        <f>AC37</f>
        <v>#REF!</v>
      </c>
      <c r="AF30" s="67"/>
      <c r="AG30" s="67" t="e">
        <f>AE37</f>
        <v>#REF!</v>
      </c>
      <c r="AH30" s="67"/>
      <c r="AI30" s="67" t="e">
        <f>AG37</f>
        <v>#REF!</v>
      </c>
      <c r="AJ30" s="67"/>
      <c r="AK30" s="67" t="e">
        <f>AI37</f>
        <v>#REF!</v>
      </c>
      <c r="AL30" s="16"/>
      <c r="AM30" s="16"/>
    </row>
    <row r="31" spans="1:39" s="2" customFormat="1" ht="23.25" x14ac:dyDescent="0.35">
      <c r="A31" s="72" t="str">
        <f>+A14</f>
        <v>Plus</v>
      </c>
      <c r="B31" s="65">
        <f>+B14</f>
        <v>0</v>
      </c>
      <c r="C31" s="65" t="str">
        <f>+C14</f>
        <v>Total Recommended Reserve Contribution (Note 2)</v>
      </c>
      <c r="D31" s="64"/>
      <c r="E31" s="62"/>
      <c r="F31" s="63"/>
      <c r="G31" s="63"/>
      <c r="H31" s="63"/>
      <c r="I31" s="68">
        <f>+AK14*(1+I39)</f>
        <v>2500.4641333087352</v>
      </c>
      <c r="J31" s="68"/>
      <c r="K31" s="68">
        <f>+I31*(1+K39)</f>
        <v>2537.9710953083659</v>
      </c>
      <c r="L31" s="68"/>
      <c r="M31" s="68">
        <f>+K31*(1+M39)</f>
        <v>2576.0406617379913</v>
      </c>
      <c r="N31" s="68"/>
      <c r="O31" s="68">
        <f>+M31*(1+O39)</f>
        <v>2614.6812716640611</v>
      </c>
      <c r="P31" s="68"/>
      <c r="Q31" s="68">
        <f>+O31*(1+Q39)</f>
        <v>2653.9014907390219</v>
      </c>
      <c r="R31" s="68"/>
      <c r="S31" s="68">
        <f>+Q31*(1+S39)</f>
        <v>2693.7100131001071</v>
      </c>
      <c r="T31" s="68"/>
      <c r="U31" s="68">
        <f>+S31*(1+U39)</f>
        <v>2734.1156632966085</v>
      </c>
      <c r="V31" s="68"/>
      <c r="W31" s="68">
        <f>+U31*(1+W39)</f>
        <v>2775.1273982460575</v>
      </c>
      <c r="X31" s="68"/>
      <c r="Y31" s="68">
        <f>+W31*(1+Y39)</f>
        <v>2816.7543092197479</v>
      </c>
      <c r="Z31" s="68"/>
      <c r="AA31" s="68">
        <f>+Y31*(1+AA39)</f>
        <v>2859.0056238580437</v>
      </c>
      <c r="AB31" s="68"/>
      <c r="AC31" s="68">
        <f>+AA31*(1+AC39)</f>
        <v>2901.8907082159139</v>
      </c>
      <c r="AD31" s="68"/>
      <c r="AE31" s="68">
        <f>+AC31*(1+AE39)</f>
        <v>2945.4190688391523</v>
      </c>
      <c r="AF31" s="68"/>
      <c r="AG31" s="68">
        <f>+AE31*(1+AG39)</f>
        <v>2989.6003548717395</v>
      </c>
      <c r="AH31" s="68"/>
      <c r="AI31" s="68">
        <f>+AG31*(1+AI39)</f>
        <v>3034.4443601948151</v>
      </c>
      <c r="AJ31" s="68"/>
      <c r="AK31" s="68">
        <f>+AI31*(1+AK39)</f>
        <v>3079.9610255977368</v>
      </c>
      <c r="AL31" s="16"/>
      <c r="AM31" s="16"/>
    </row>
    <row r="32" spans="1:39" s="2" customFormat="1" ht="23.25" x14ac:dyDescent="0.35">
      <c r="A32" s="62" t="str">
        <f>+A15</f>
        <v>Plus</v>
      </c>
      <c r="B32" s="63"/>
      <c r="C32" s="69" t="str">
        <f>+C15</f>
        <v>Special Assessment</v>
      </c>
      <c r="D32" s="64"/>
      <c r="E32" s="62"/>
      <c r="F32" s="63"/>
      <c r="G32" s="63"/>
      <c r="H32" s="63"/>
      <c r="I32" s="68">
        <v>0</v>
      </c>
      <c r="J32" s="68"/>
      <c r="K32" s="68">
        <v>0</v>
      </c>
      <c r="L32" s="68"/>
      <c r="M32" s="68">
        <v>0</v>
      </c>
      <c r="N32" s="68"/>
      <c r="O32" s="68">
        <v>0</v>
      </c>
      <c r="P32" s="68"/>
      <c r="Q32" s="68">
        <v>0</v>
      </c>
      <c r="R32" s="68"/>
      <c r="S32" s="68">
        <v>0</v>
      </c>
      <c r="T32" s="68"/>
      <c r="U32" s="68">
        <v>0</v>
      </c>
      <c r="V32" s="68"/>
      <c r="W32" s="68">
        <v>0</v>
      </c>
      <c r="X32" s="68"/>
      <c r="Y32" s="68">
        <v>0</v>
      </c>
      <c r="Z32" s="68"/>
      <c r="AA32" s="68">
        <v>0</v>
      </c>
      <c r="AB32" s="68"/>
      <c r="AC32" s="68">
        <v>0</v>
      </c>
      <c r="AD32" s="68"/>
      <c r="AE32" s="68">
        <v>0</v>
      </c>
      <c r="AF32" s="68"/>
      <c r="AG32" s="68">
        <v>0</v>
      </c>
      <c r="AH32" s="68"/>
      <c r="AI32" s="68">
        <v>0</v>
      </c>
      <c r="AJ32" s="68"/>
      <c r="AK32" s="68">
        <v>0</v>
      </c>
      <c r="AL32" s="16"/>
      <c r="AM32" s="16"/>
    </row>
    <row r="33" spans="1:39" s="2" customFormat="1" ht="23.25" x14ac:dyDescent="0.35">
      <c r="A33" s="40" t="str">
        <f>+A16</f>
        <v>Plus</v>
      </c>
      <c r="C33" s="14" t="str">
        <f>+C16</f>
        <v>Estimated Interest Earned, During Year (Note 3)</v>
      </c>
      <c r="D33" s="3"/>
      <c r="E33" s="40"/>
      <c r="I33" s="21" t="e">
        <f>IF(-FV(($S$7/12),12,(I31/12),I30,0)-(I30+I31)&gt;0,-FV(($S$7/12),12,(I31/12),I30,0)-(I30+I31),0)</f>
        <v>#REF!</v>
      </c>
      <c r="J33" s="21"/>
      <c r="K33" s="21" t="e">
        <f>IF(-FV(($S$7/12),12,(K31/12),K30,0)-(K30+K31)&gt;0,-FV(($S$7/12),12,(K31/12),K30,0)-(K30+K31),0)</f>
        <v>#REF!</v>
      </c>
      <c r="L33" s="21"/>
      <c r="M33" s="21" t="e">
        <f>IF(-FV(($S$7/12),12,(M31/12),M30,0)-(M30+M31)&gt;0,-FV(($S$7/12),12,(M31/12),M30,0)-(M30+M31),0)</f>
        <v>#REF!</v>
      </c>
      <c r="N33" s="21"/>
      <c r="O33" s="21" t="e">
        <f>IF(-FV(($S$7/12),12,(O31/12),O30,0)-(O30+O31)&gt;0,-FV(($S$7/12),12,(O31/12),O30,0)-(O30+O31),0)</f>
        <v>#REF!</v>
      </c>
      <c r="P33" s="21"/>
      <c r="Q33" s="21" t="e">
        <f>IF(-FV(($S$7/12),12,(Q31/12),Q30,0)-(Q30+Q31)&gt;0,-FV(($S$7/12),12,(Q31/12),Q30,0)-(Q30+Q31),0)</f>
        <v>#REF!</v>
      </c>
      <c r="R33" s="21"/>
      <c r="S33" s="21" t="e">
        <f>IF(-FV(($S$7/12),12,(S31/12),S30,0)-(S30+S31)&gt;0,-FV(($S$7/12),12,(S31/12),S30,0)-(S30+S31),0)</f>
        <v>#REF!</v>
      </c>
      <c r="T33" s="21"/>
      <c r="U33" s="21" t="e">
        <f>IF(-FV(($S$7/12),12,(U31/12),U30,0)-(U30+U31)&gt;0,-FV(($S$7/12),12,(U31/12),U30,0)-(U30+U31),0)</f>
        <v>#REF!</v>
      </c>
      <c r="V33" s="21"/>
      <c r="W33" s="21" t="e">
        <f>IF(-FV(($S$7/12),12,(W31/12),W30,0)-(W30+W31)&gt;0,-FV(($S$7/12),12,(W31/12),W30,0)-(W30+W31),0)</f>
        <v>#REF!</v>
      </c>
      <c r="X33" s="21"/>
      <c r="Y33" s="21" t="e">
        <f>IF(-FV(($S$7/12),12,(Y31/12),Y30,0)-(Y30+Y31)&gt;0,-FV(($S$7/12),12,(Y31/12),Y30,0)-(Y30+Y31),0)</f>
        <v>#REF!</v>
      </c>
      <c r="Z33" s="21"/>
      <c r="AA33" s="21" t="e">
        <f>IF(-FV(($S$7/12),12,(AA31/12),AA30,0)-(AA30+AA31)&gt;0,-FV(($S$7/12),12,(AA31/12),AA30,0)-(AA30+AA31),0)</f>
        <v>#REF!</v>
      </c>
      <c r="AB33" s="21"/>
      <c r="AC33" s="21" t="e">
        <f>IF(-FV(($S$7/12),12,(AC31/12),AC30,0)-(AC30+AC31)&gt;0,-FV(($S$7/12),12,(AC31/12),AC30,0)-(AC30+AC31),0)</f>
        <v>#REF!</v>
      </c>
      <c r="AD33" s="21"/>
      <c r="AE33" s="21" t="e">
        <f>IF(-FV(($S$7/12),12,(AE31/12),AE30,0)-(AE30+AE31)&gt;0,-FV(($S$7/12),12,(AE31/12),AE30,0)-(AE30+AE31),0)</f>
        <v>#REF!</v>
      </c>
      <c r="AF33" s="21"/>
      <c r="AG33" s="21" t="e">
        <f>IF(-FV(($S$7/12),12,(AG31/12),AG30,0)-(AG30+AG31)&gt;0,-FV(($S$7/12),12,(AG31/12),AG30,0)-(AG30+AG31),0)</f>
        <v>#REF!</v>
      </c>
      <c r="AH33" s="21"/>
      <c r="AI33" s="21" t="e">
        <f>IF(-FV(($S$7/12),12,(AI31/12),AI30,0)-(AI30+AI31)&gt;0,-FV(($S$7/12),12,(AI31/12),AI30,0)-(AI30+AI31),0)</f>
        <v>#REF!</v>
      </c>
      <c r="AJ33" s="21"/>
      <c r="AK33" s="21" t="e">
        <f>IF(-FV(($S$7/12),12,(AK31/12),AK30,0)-(AK30+AK31)&gt;0,-FV(($S$7/12),12,(AK31/12),AK30,0)-(AK30+AK31),0)</f>
        <v>#REF!</v>
      </c>
      <c r="AL33" s="16"/>
      <c r="AM33" s="16"/>
    </row>
    <row r="34" spans="1:39" s="2" customFormat="1" ht="23.25" x14ac:dyDescent="0.35">
      <c r="A34" s="40" t="str">
        <f>+A17</f>
        <v>Less</v>
      </c>
      <c r="C34" s="14" t="str">
        <f>+C17</f>
        <v>Anticipated Expenditures, By Year</v>
      </c>
      <c r="D34" s="3"/>
      <c r="E34" s="40"/>
      <c r="I34" s="53" t="e">
        <f>SUM('Roofs 1'!J102+#REF!+#REF!+#REF!+'Maintain (PRN) 1'!I71+'Maintain (PRN) 2'!I71+'Combo 1'!I107+'Combo 2'!I58)</f>
        <v>#REF!</v>
      </c>
      <c r="K34" s="53" t="e">
        <f>SUM('Roofs 1'!L102+#REF!+#REF!+#REF!+'Maintain (PRN) 1'!K71+'Maintain (PRN) 2'!K71+'Combo 1'!K107+'Combo 2'!K58)</f>
        <v>#REF!</v>
      </c>
      <c r="M34" s="53" t="e">
        <f>SUM('Roofs 1'!N102+#REF!+#REF!+#REF!+'Maintain (PRN) 1'!M71+'Maintain (PRN) 2'!M71+'Combo 1'!M107+'Combo 2'!M58)</f>
        <v>#REF!</v>
      </c>
      <c r="O34" s="53" t="e">
        <f>SUM('Roofs 1'!P102+#REF!+#REF!+#REF!+'Maintain (PRN) 1'!O71+'Maintain (PRN) 2'!O71+'Combo 1'!O107+'Combo 2'!O58)</f>
        <v>#REF!</v>
      </c>
      <c r="Q34" s="53" t="e">
        <f>SUM('Roofs 1'!R102+#REF!+#REF!+#REF!+'Maintain (PRN) 1'!Q71+'Maintain (PRN) 2'!Q71+'Combo 1'!Q107+'Combo 2'!Q58)</f>
        <v>#REF!</v>
      </c>
      <c r="S34" s="53" t="e">
        <f>SUM('Roofs 1'!T102+#REF!+#REF!+#REF!+'Maintain (PRN) 1'!S71+'Maintain (PRN) 2'!S71+'Combo 1'!S107+'Combo 2'!S58)</f>
        <v>#REF!</v>
      </c>
      <c r="U34" s="53" t="e">
        <f>SUM('Roofs 1'!V102+#REF!+#REF!+#REF!+'Maintain (PRN) 1'!U71+'Maintain (PRN) 2'!U71+'Combo 1'!U107+'Combo 2'!U58)</f>
        <v>#REF!</v>
      </c>
      <c r="W34" s="53" t="e">
        <f>SUM('Roofs 1'!X102+#REF!+#REF!+#REF!+'Maintain (PRN) 1'!W71+'Maintain (PRN) 2'!W71+'Combo 1'!W107+'Combo 2'!W58)</f>
        <v>#REF!</v>
      </c>
      <c r="Y34" s="53" t="e">
        <f>SUM('Roofs 1'!Z102+#REF!+#REF!+#REF!+'Maintain (PRN) 1'!Y71+'Maintain (PRN) 2'!Y71+'Combo 1'!Y107+'Combo 2'!Y58)</f>
        <v>#REF!</v>
      </c>
      <c r="AA34" s="53" t="e">
        <f>SUM('Roofs 1'!AB102+#REF!+#REF!+#REF!+'Maintain (PRN) 1'!AA71+'Maintain (PRN) 2'!AA71+'Combo 1'!AA107+'Combo 2'!AA58)</f>
        <v>#REF!</v>
      </c>
      <c r="AC34" s="53" t="e">
        <f>SUM('Roofs 1'!AD102+#REF!+#REF!+#REF!+'Maintain (PRN) 1'!AC71+'Maintain (PRN) 2'!AC71+'Combo 1'!AC107+'Combo 2'!AC58)</f>
        <v>#REF!</v>
      </c>
      <c r="AE34" s="53" t="e">
        <f>SUM('Roofs 1'!AF102+#REF!+#REF!+#REF!+'Maintain (PRN) 1'!AE71+'Maintain (PRN) 2'!AE71+'Combo 1'!AE107+'Combo 2'!AE58)</f>
        <v>#REF!</v>
      </c>
      <c r="AG34" s="53" t="e">
        <f>SUM('Roofs 1'!AH102+#REF!+#REF!+#REF!+'Maintain (PRN) 1'!AG71+'Maintain (PRN) 2'!AG71+'Combo 1'!AG107+'Combo 2'!AG58)</f>
        <v>#REF!</v>
      </c>
      <c r="AI34" s="53" t="e">
        <f>SUM('Roofs 1'!AJ102+#REF!+#REF!+#REF!+'Maintain (PRN) 1'!AI71+'Maintain (PRN) 2'!AI71+'Combo 1'!AI107+'Combo 2'!AI58)</f>
        <v>#REF!</v>
      </c>
      <c r="AK34" s="53" t="e">
        <f>SUM('Roofs 1'!AL102+#REF!+#REF!+#REF!+'Maintain (PRN) 1'!AK71+'Maintain (PRN) 2'!AK71+'Combo 1'!AK107+'Combo 2'!AK58)</f>
        <v>#REF!</v>
      </c>
      <c r="AL34" s="16"/>
      <c r="AM34" s="16"/>
    </row>
    <row r="35" spans="1:39" s="2" customFormat="1" ht="11.65" customHeight="1" x14ac:dyDescent="0.35">
      <c r="A35" s="40"/>
      <c r="C35" s="14"/>
      <c r="D35" s="3"/>
      <c r="E35" s="40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6"/>
      <c r="AM35" s="16"/>
    </row>
    <row r="36" spans="1:39" s="2" customFormat="1" ht="11.65" customHeight="1" x14ac:dyDescent="0.35">
      <c r="A36" s="40"/>
      <c r="C36" s="14"/>
      <c r="D36" s="3"/>
      <c r="E36" s="40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6"/>
      <c r="AM36" s="16"/>
    </row>
    <row r="37" spans="1:39" s="2" customFormat="1" ht="23.25" x14ac:dyDescent="0.35">
      <c r="A37" s="62"/>
      <c r="B37" s="63"/>
      <c r="C37" s="65" t="s">
        <v>16</v>
      </c>
      <c r="D37" s="64"/>
      <c r="E37" s="62"/>
      <c r="F37" s="63"/>
      <c r="G37" s="63"/>
      <c r="H37" s="63"/>
      <c r="I37" s="71" t="e">
        <f>SUM(I30:I34)</f>
        <v>#REF!</v>
      </c>
      <c r="J37" s="71"/>
      <c r="K37" s="71" t="e">
        <f>SUM(K30:K34)</f>
        <v>#REF!</v>
      </c>
      <c r="L37" s="71"/>
      <c r="M37" s="71" t="e">
        <f>SUM(M30:M34)</f>
        <v>#REF!</v>
      </c>
      <c r="N37" s="71"/>
      <c r="O37" s="71" t="e">
        <f>SUM(O30:O34)</f>
        <v>#REF!</v>
      </c>
      <c r="P37" s="71"/>
      <c r="Q37" s="71" t="e">
        <f>SUM(Q30:Q34)</f>
        <v>#REF!</v>
      </c>
      <c r="R37" s="71"/>
      <c r="S37" s="71" t="e">
        <f t="shared" ref="S37:AK37" si="4">SUM(S30:S34)</f>
        <v>#REF!</v>
      </c>
      <c r="T37" s="71"/>
      <c r="U37" s="71" t="e">
        <f t="shared" si="4"/>
        <v>#REF!</v>
      </c>
      <c r="V37" s="71"/>
      <c r="W37" s="71" t="e">
        <f t="shared" si="4"/>
        <v>#REF!</v>
      </c>
      <c r="X37" s="71"/>
      <c r="Y37" s="71" t="e">
        <f t="shared" si="4"/>
        <v>#REF!</v>
      </c>
      <c r="Z37" s="71"/>
      <c r="AA37" s="71" t="e">
        <f t="shared" si="4"/>
        <v>#REF!</v>
      </c>
      <c r="AB37" s="71"/>
      <c r="AC37" s="71" t="e">
        <f t="shared" si="4"/>
        <v>#REF!</v>
      </c>
      <c r="AD37" s="71"/>
      <c r="AE37" s="71" t="e">
        <f t="shared" si="4"/>
        <v>#REF!</v>
      </c>
      <c r="AF37" s="71"/>
      <c r="AG37" s="71" t="e">
        <f t="shared" si="4"/>
        <v>#REF!</v>
      </c>
      <c r="AH37" s="71"/>
      <c r="AI37" s="71" t="e">
        <f t="shared" si="4"/>
        <v>#REF!</v>
      </c>
      <c r="AJ37" s="71"/>
      <c r="AK37" s="71" t="e">
        <f t="shared" si="4"/>
        <v>#REF!</v>
      </c>
      <c r="AL37" s="16"/>
      <c r="AM37" s="16"/>
    </row>
    <row r="38" spans="1:39" s="2" customFormat="1" ht="23.25" x14ac:dyDescent="0.35">
      <c r="A38" s="40"/>
      <c r="C38" s="14"/>
      <c r="D38" s="3"/>
      <c r="E38" s="40"/>
      <c r="F38" s="2" t="str">
        <f t="shared" ref="F38:F43" si="5">+F21</f>
        <v>Total increase in funding</v>
      </c>
      <c r="H38" s="16"/>
      <c r="I38" s="29">
        <f>+I31-AK14</f>
        <v>36.952671920818375</v>
      </c>
      <c r="J38" s="29"/>
      <c r="K38" s="29">
        <f>+K31-I31</f>
        <v>37.506961999630676</v>
      </c>
      <c r="L38" s="29"/>
      <c r="M38" s="29">
        <f>+M31-K31</f>
        <v>38.069566429625411</v>
      </c>
      <c r="N38" s="29"/>
      <c r="O38" s="29">
        <f>+O31-M31</f>
        <v>38.640609926069828</v>
      </c>
      <c r="P38" s="29"/>
      <c r="Q38" s="29">
        <f>+Q31-O31</f>
        <v>39.220219074960823</v>
      </c>
      <c r="R38" s="29"/>
      <c r="S38" s="29">
        <f>+S31-Q31</f>
        <v>39.808522361085124</v>
      </c>
      <c r="T38" s="29"/>
      <c r="U38" s="29">
        <f>+U31-S31</f>
        <v>40.405650196501483</v>
      </c>
      <c r="V38" s="29"/>
      <c r="W38" s="29">
        <f>+W31-U31</f>
        <v>41.011734949448964</v>
      </c>
      <c r="X38" s="29"/>
      <c r="Y38" s="29">
        <f>+Y31-W31</f>
        <v>41.626910973690428</v>
      </c>
      <c r="Z38" s="29"/>
      <c r="AA38" s="29">
        <f>+AA31-Y31</f>
        <v>42.251314638295753</v>
      </c>
      <c r="AB38" s="29"/>
      <c r="AC38" s="29">
        <f>+AC31-AA31</f>
        <v>42.885084357870255</v>
      </c>
      <c r="AD38" s="29"/>
      <c r="AE38" s="29">
        <f>+AE31-AC31</f>
        <v>43.528360623238314</v>
      </c>
      <c r="AF38" s="29"/>
      <c r="AG38" s="29">
        <f>+AG31-AE31</f>
        <v>44.181286032587195</v>
      </c>
      <c r="AH38" s="29"/>
      <c r="AI38" s="29">
        <f>+AI31-AG31</f>
        <v>44.844005323075635</v>
      </c>
      <c r="AJ38" s="29"/>
      <c r="AK38" s="29">
        <f>+AK31-AI31</f>
        <v>45.516665402921717</v>
      </c>
      <c r="AL38" s="16"/>
      <c r="AM38" s="16"/>
    </row>
    <row r="39" spans="1:39" s="2" customFormat="1" ht="23.25" x14ac:dyDescent="0.35">
      <c r="A39" s="40"/>
      <c r="C39" s="14"/>
      <c r="D39" s="3"/>
      <c r="E39" s="40"/>
      <c r="F39" s="2" t="str">
        <f t="shared" si="5"/>
        <v>Funding Increase Percentage</v>
      </c>
      <c r="H39" s="16"/>
      <c r="I39" s="34">
        <f>+AK22</f>
        <v>1.4999999999999999E-2</v>
      </c>
      <c r="J39" s="34"/>
      <c r="K39" s="34">
        <f>+I39</f>
        <v>1.4999999999999999E-2</v>
      </c>
      <c r="L39" s="34"/>
      <c r="M39" s="34">
        <f>+K39</f>
        <v>1.4999999999999999E-2</v>
      </c>
      <c r="N39" s="34"/>
      <c r="O39" s="34">
        <f>+M39</f>
        <v>1.4999999999999999E-2</v>
      </c>
      <c r="P39" s="34"/>
      <c r="Q39" s="34">
        <f>+O39</f>
        <v>1.4999999999999999E-2</v>
      </c>
      <c r="R39" s="34"/>
      <c r="S39" s="34">
        <f>+Q39</f>
        <v>1.4999999999999999E-2</v>
      </c>
      <c r="T39" s="34"/>
      <c r="U39" s="34">
        <f>+S39</f>
        <v>1.4999999999999999E-2</v>
      </c>
      <c r="V39" s="34"/>
      <c r="W39" s="34">
        <f>+U39</f>
        <v>1.4999999999999999E-2</v>
      </c>
      <c r="X39" s="34"/>
      <c r="Y39" s="34">
        <f>+W39</f>
        <v>1.4999999999999999E-2</v>
      </c>
      <c r="Z39" s="34"/>
      <c r="AA39" s="34">
        <f>+Y39</f>
        <v>1.4999999999999999E-2</v>
      </c>
      <c r="AB39" s="34"/>
      <c r="AC39" s="34">
        <f>+AA39</f>
        <v>1.4999999999999999E-2</v>
      </c>
      <c r="AD39" s="34"/>
      <c r="AE39" s="34">
        <f>+AC39</f>
        <v>1.4999999999999999E-2</v>
      </c>
      <c r="AF39" s="34"/>
      <c r="AG39" s="34">
        <f>+AE39</f>
        <v>1.4999999999999999E-2</v>
      </c>
      <c r="AH39" s="34"/>
      <c r="AI39" s="34">
        <f>+AG39</f>
        <v>1.4999999999999999E-2</v>
      </c>
      <c r="AJ39" s="34"/>
      <c r="AK39" s="34">
        <f>+AI39</f>
        <v>1.4999999999999999E-2</v>
      </c>
      <c r="AL39" s="16"/>
      <c r="AM39" s="16"/>
    </row>
    <row r="40" spans="1:39" s="2" customFormat="1" ht="23.25" x14ac:dyDescent="0.35">
      <c r="A40" s="40"/>
      <c r="C40" s="14"/>
      <c r="D40" s="3"/>
      <c r="E40" s="40"/>
      <c r="F40" s="2" t="str">
        <f t="shared" si="5"/>
        <v>Per Unit Special Assessment</v>
      </c>
      <c r="H40" s="16"/>
      <c r="I40" s="49">
        <f>+I32/37</f>
        <v>0</v>
      </c>
      <c r="J40" s="49"/>
      <c r="K40" s="49">
        <f t="shared" ref="K40:AK40" si="6">+K32/37</f>
        <v>0</v>
      </c>
      <c r="L40" s="49"/>
      <c r="M40" s="49">
        <f t="shared" si="6"/>
        <v>0</v>
      </c>
      <c r="N40" s="49"/>
      <c r="O40" s="49">
        <f t="shared" si="6"/>
        <v>0</v>
      </c>
      <c r="P40" s="49"/>
      <c r="Q40" s="49">
        <f t="shared" si="6"/>
        <v>0</v>
      </c>
      <c r="R40" s="49"/>
      <c r="S40" s="49">
        <f t="shared" si="6"/>
        <v>0</v>
      </c>
      <c r="T40" s="49"/>
      <c r="U40" s="49">
        <f t="shared" si="6"/>
        <v>0</v>
      </c>
      <c r="V40" s="49"/>
      <c r="W40" s="49">
        <f t="shared" si="6"/>
        <v>0</v>
      </c>
      <c r="X40" s="49"/>
      <c r="Y40" s="49">
        <f t="shared" si="6"/>
        <v>0</v>
      </c>
      <c r="Z40" s="49"/>
      <c r="AA40" s="49">
        <f t="shared" si="6"/>
        <v>0</v>
      </c>
      <c r="AB40" s="49"/>
      <c r="AC40" s="49">
        <f t="shared" si="6"/>
        <v>0</v>
      </c>
      <c r="AD40" s="49"/>
      <c r="AE40" s="49">
        <f t="shared" si="6"/>
        <v>0</v>
      </c>
      <c r="AF40" s="49"/>
      <c r="AG40" s="49">
        <f t="shared" si="6"/>
        <v>0</v>
      </c>
      <c r="AH40" s="49"/>
      <c r="AI40" s="49">
        <f t="shared" si="6"/>
        <v>0</v>
      </c>
      <c r="AJ40" s="49"/>
      <c r="AK40" s="49">
        <f t="shared" si="6"/>
        <v>0</v>
      </c>
      <c r="AL40" s="16"/>
      <c r="AM40" s="16"/>
    </row>
    <row r="41" spans="1:39" ht="23.25" x14ac:dyDescent="0.35">
      <c r="A41" s="30"/>
      <c r="B41" s="30"/>
      <c r="C41" s="30"/>
      <c r="D41" s="30"/>
      <c r="E41" s="30"/>
      <c r="F41" s="10" t="str">
        <f t="shared" si="5"/>
        <v>Per Unit Increase in funding per month</v>
      </c>
      <c r="G41" s="30"/>
      <c r="H41" s="30"/>
      <c r="I41" s="130">
        <f>(I38/12)/111</f>
        <v>2.774224618680058E-2</v>
      </c>
      <c r="J41" s="130"/>
      <c r="K41" s="130">
        <f>(K38/12)/111</f>
        <v>2.815837987960261E-2</v>
      </c>
      <c r="L41" s="130"/>
      <c r="M41" s="130">
        <f>(M38/12)/111</f>
        <v>2.8580755577796855E-2</v>
      </c>
      <c r="N41" s="130"/>
      <c r="O41" s="130">
        <f>(O38/12)/111</f>
        <v>2.9009466911463836E-2</v>
      </c>
      <c r="P41" s="130"/>
      <c r="Q41" s="130">
        <f>(Q38/12)/111</f>
        <v>2.9444608915135756E-2</v>
      </c>
      <c r="R41" s="130"/>
      <c r="S41" s="130">
        <f>(S38/12)/111</f>
        <v>2.9886278048862704E-2</v>
      </c>
      <c r="T41" s="130"/>
      <c r="U41" s="130">
        <f>(U38/12)/111</f>
        <v>3.0334572219595707E-2</v>
      </c>
      <c r="V41" s="130"/>
      <c r="W41" s="130">
        <f>(W38/12)/111</f>
        <v>3.0789590802889615E-2</v>
      </c>
      <c r="X41" s="130"/>
      <c r="Y41" s="130">
        <f>(Y38/12)/111</f>
        <v>3.1251434664932756E-2</v>
      </c>
      <c r="Z41" s="130"/>
      <c r="AA41" s="130">
        <f>(AA38/12)/111</f>
        <v>3.1720206184906723E-2</v>
      </c>
      <c r="AB41" s="130"/>
      <c r="AC41" s="130">
        <f>(AC38/12)/111</f>
        <v>3.2196009277680376E-2</v>
      </c>
      <c r="AD41" s="130"/>
      <c r="AE41" s="130">
        <f>(AE38/12)/111</f>
        <v>3.2678949416845578E-2</v>
      </c>
      <c r="AF41" s="130"/>
      <c r="AG41" s="130">
        <f>(AG38/12)/111</f>
        <v>3.3169133658098496E-2</v>
      </c>
      <c r="AH41" s="130"/>
      <c r="AI41" s="130">
        <f>(AI38/12)/111</f>
        <v>3.3666670662969696E-2</v>
      </c>
      <c r="AJ41" s="130"/>
      <c r="AK41" s="130">
        <f>(AK38/12)/111</f>
        <v>3.4171670722914202E-2</v>
      </c>
      <c r="AL41" s="60"/>
    </row>
    <row r="42" spans="1:39" ht="23.25" x14ac:dyDescent="0.35">
      <c r="A42" s="30"/>
      <c r="B42" s="30"/>
      <c r="C42" s="30"/>
      <c r="D42" s="30"/>
      <c r="E42" s="30"/>
      <c r="F42" s="35" t="str">
        <f t="shared" si="5"/>
        <v>Cummulative Per Unit Funding Increase</v>
      </c>
      <c r="G42" s="30"/>
      <c r="H42" s="30"/>
      <c r="I42" s="52">
        <f>+I41+AK25</f>
        <v>0.68405345494896774</v>
      </c>
      <c r="J42" s="52"/>
      <c r="K42" s="52">
        <f>+I42+K41</f>
        <v>0.71221183482857031</v>
      </c>
      <c r="L42" s="52"/>
      <c r="M42" s="52">
        <f>+K42+M41</f>
        <v>0.74079259040636714</v>
      </c>
      <c r="N42" s="52"/>
      <c r="O42" s="52">
        <f>+M42+O41</f>
        <v>0.76980205731783102</v>
      </c>
      <c r="P42" s="52"/>
      <c r="Q42" s="52">
        <f>+O42+Q41</f>
        <v>0.79924666623296681</v>
      </c>
      <c r="R42" s="52"/>
      <c r="S42" s="52">
        <f>+Q42+S41</f>
        <v>0.82913294428182949</v>
      </c>
      <c r="T42" s="52"/>
      <c r="U42" s="52">
        <f>+S42+U41</f>
        <v>0.85946751650142517</v>
      </c>
      <c r="V42" s="52"/>
      <c r="W42" s="52">
        <f>+U42+W41</f>
        <v>0.89025710730431473</v>
      </c>
      <c r="X42" s="52"/>
      <c r="Y42" s="52">
        <f>+W42+Y41</f>
        <v>0.92150854196924747</v>
      </c>
      <c r="Z42" s="52"/>
      <c r="AA42" s="52">
        <f>+Y42+AA41</f>
        <v>0.95322874815415415</v>
      </c>
      <c r="AB42" s="52"/>
      <c r="AC42" s="52">
        <f>+AA42+AC41</f>
        <v>0.98542475743183455</v>
      </c>
      <c r="AD42" s="52"/>
      <c r="AE42" s="52">
        <f>+AC42+AE41</f>
        <v>1.0181037068486802</v>
      </c>
      <c r="AF42" s="52"/>
      <c r="AG42" s="52">
        <f>+AE42+AG41</f>
        <v>1.0512728405067788</v>
      </c>
      <c r="AH42" s="52"/>
      <c r="AI42" s="52">
        <f>+AG42+AI41</f>
        <v>1.0849395111697486</v>
      </c>
      <c r="AJ42" s="52"/>
      <c r="AK42" s="52">
        <f>+AI42+AK41</f>
        <v>1.1191111818926629</v>
      </c>
    </row>
    <row r="43" spans="1:39" ht="24" thickBot="1" x14ac:dyDescent="0.4">
      <c r="A43" s="50"/>
      <c r="B43" s="50"/>
      <c r="C43" s="50"/>
      <c r="D43" s="50"/>
      <c r="E43" s="50"/>
      <c r="F43" s="51" t="str">
        <f t="shared" si="5"/>
        <v>Percentage Increase in Operating Budget</v>
      </c>
      <c r="G43" s="50"/>
      <c r="H43" s="50"/>
      <c r="I43" s="134">
        <f>+I38/199464</f>
        <v>1.852598560182207E-4</v>
      </c>
      <c r="J43" s="134"/>
      <c r="K43" s="134">
        <f t="shared" ref="K43:AK43" si="7">+K38/199464</f>
        <v>1.8803875385849415E-4</v>
      </c>
      <c r="L43" s="134"/>
      <c r="M43" s="134">
        <f t="shared" si="7"/>
        <v>1.9085933516637294E-4</v>
      </c>
      <c r="N43" s="134"/>
      <c r="O43" s="134">
        <f t="shared" si="7"/>
        <v>1.9372222519386872E-4</v>
      </c>
      <c r="P43" s="134"/>
      <c r="Q43" s="134">
        <f t="shared" si="7"/>
        <v>1.9662805857177649E-4</v>
      </c>
      <c r="R43" s="134"/>
      <c r="S43" s="134">
        <f t="shared" si="7"/>
        <v>1.9957747945035257E-4</v>
      </c>
      <c r="T43" s="134"/>
      <c r="U43" s="134">
        <f t="shared" si="7"/>
        <v>2.0257114164210828E-4</v>
      </c>
      <c r="V43" s="134"/>
      <c r="W43" s="134">
        <f t="shared" si="7"/>
        <v>2.0560970876673968E-4</v>
      </c>
      <c r="X43" s="134"/>
      <c r="Y43" s="134">
        <f t="shared" si="7"/>
        <v>2.0869385439823942E-4</v>
      </c>
      <c r="Z43" s="134"/>
      <c r="AA43" s="134">
        <f t="shared" si="7"/>
        <v>2.1182426221421285E-4</v>
      </c>
      <c r="AB43" s="134"/>
      <c r="AC43" s="134">
        <f t="shared" si="7"/>
        <v>2.1500162614742637E-4</v>
      </c>
      <c r="AD43" s="134"/>
      <c r="AE43" s="134">
        <f t="shared" si="7"/>
        <v>2.182266505396378E-4</v>
      </c>
      <c r="AF43" s="134"/>
      <c r="AG43" s="134">
        <f t="shared" si="7"/>
        <v>2.215000502977339E-4</v>
      </c>
      <c r="AH43" s="134"/>
      <c r="AI43" s="134">
        <f t="shared" si="7"/>
        <v>2.2482255105219808E-4</v>
      </c>
      <c r="AJ43" s="134"/>
      <c r="AK43" s="134">
        <f t="shared" si="7"/>
        <v>2.2819488931798078E-4</v>
      </c>
    </row>
    <row r="44" spans="1:39" ht="23.25" customHeight="1" thickTop="1" x14ac:dyDescent="0.3">
      <c r="AK44" s="43" t="s">
        <v>36</v>
      </c>
    </row>
    <row r="48" spans="1:39" ht="31.5" x14ac:dyDescent="0.5">
      <c r="K48" s="121" t="s">
        <v>70</v>
      </c>
      <c r="L48" s="122"/>
      <c r="M48" s="122"/>
      <c r="N48" s="120"/>
      <c r="O48" s="120"/>
    </row>
    <row r="49" spans="11:15" ht="31.5" x14ac:dyDescent="0.5">
      <c r="K49" s="131" t="s">
        <v>77</v>
      </c>
      <c r="L49" s="132"/>
      <c r="M49" s="132"/>
      <c r="N49" s="133"/>
      <c r="O49" s="133"/>
    </row>
  </sheetData>
  <mergeCells count="2">
    <mergeCell ref="B6:D6"/>
    <mergeCell ref="B7:D7"/>
  </mergeCells>
  <pageMargins left="0.7" right="0.7" top="0.75" bottom="0.75" header="0.3" footer="0.3"/>
  <pageSetup paperSize="3" scale="47" orientation="landscape" verticalDpi="0" r:id="rId1"/>
  <ignoredErrors>
    <ignoredError sqref="Q5:Q9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DB51-A375-4BF0-8D9D-92A9504800C5}">
  <sheetPr>
    <tabColor rgb="FFFFFF00"/>
  </sheetPr>
  <dimension ref="A3:C12"/>
  <sheetViews>
    <sheetView workbookViewId="0">
      <selection activeCell="H22" sqref="H22"/>
    </sheetView>
  </sheetViews>
  <sheetFormatPr defaultRowHeight="15" x14ac:dyDescent="0.25"/>
  <cols>
    <col min="1" max="1" width="30.42578125" bestFit="1" customWidth="1"/>
    <col min="2" max="2" width="14.28515625" bestFit="1" customWidth="1"/>
    <col min="3" max="3" width="9.7109375" style="22" bestFit="1" customWidth="1"/>
  </cols>
  <sheetData>
    <row r="3" spans="1:3" x14ac:dyDescent="0.25">
      <c r="A3" s="30"/>
    </row>
    <row r="4" spans="1:3" x14ac:dyDescent="0.25">
      <c r="A4" s="107" t="s">
        <v>59</v>
      </c>
      <c r="B4" s="106">
        <f>'Roofs 1'!V52</f>
        <v>0</v>
      </c>
      <c r="C4" s="1" t="e">
        <f>B4/$B$12</f>
        <v>#REF!</v>
      </c>
    </row>
    <row r="5" spans="1:3" x14ac:dyDescent="0.25">
      <c r="A5" s="107" t="s">
        <v>60</v>
      </c>
      <c r="B5" s="106" t="e">
        <f>#REF!</f>
        <v>#REF!</v>
      </c>
      <c r="C5" s="1" t="e">
        <f t="shared" ref="C5:C11" si="0">B5/$B$12</f>
        <v>#REF!</v>
      </c>
    </row>
    <row r="6" spans="1:3" x14ac:dyDescent="0.25">
      <c r="A6" s="107" t="s">
        <v>61</v>
      </c>
      <c r="B6" s="106" t="e">
        <f>#REF!</f>
        <v>#REF!</v>
      </c>
      <c r="C6" s="1" t="e">
        <f t="shared" si="0"/>
        <v>#REF!</v>
      </c>
    </row>
    <row r="7" spans="1:3" x14ac:dyDescent="0.25">
      <c r="A7" s="107" t="s">
        <v>62</v>
      </c>
      <c r="B7" s="106" t="e">
        <f>#REF!</f>
        <v>#REF!</v>
      </c>
      <c r="C7" s="1" t="e">
        <f t="shared" si="0"/>
        <v>#REF!</v>
      </c>
    </row>
    <row r="8" spans="1:3" x14ac:dyDescent="0.25">
      <c r="A8" s="107" t="s">
        <v>63</v>
      </c>
      <c r="B8" s="106">
        <f>'Maintain (PRN) 1'!U38</f>
        <v>1046.6591455390842</v>
      </c>
      <c r="C8" s="1" t="e">
        <f t="shared" si="0"/>
        <v>#REF!</v>
      </c>
    </row>
    <row r="9" spans="1:3" x14ac:dyDescent="0.25">
      <c r="A9" s="107" t="s">
        <v>64</v>
      </c>
      <c r="B9" s="106">
        <f>'Maintain (PRN) 2'!U38</f>
        <v>1046.6591455390842</v>
      </c>
      <c r="C9" s="1" t="e">
        <f t="shared" si="0"/>
        <v>#REF!</v>
      </c>
    </row>
    <row r="10" spans="1:3" x14ac:dyDescent="0.25">
      <c r="A10" s="107" t="s">
        <v>65</v>
      </c>
      <c r="B10" s="106">
        <f>'Combo 1'!U56</f>
        <v>737.63123559483017</v>
      </c>
      <c r="C10" s="1" t="e">
        <f t="shared" si="0"/>
        <v>#REF!</v>
      </c>
    </row>
    <row r="11" spans="1:3" x14ac:dyDescent="0.25">
      <c r="A11" s="107" t="s">
        <v>66</v>
      </c>
      <c r="B11" s="106">
        <f>'Combo 2'!U32</f>
        <v>294.45249423793206</v>
      </c>
      <c r="C11" s="54" t="e">
        <f t="shared" si="0"/>
        <v>#REF!</v>
      </c>
    </row>
    <row r="12" spans="1:3" x14ac:dyDescent="0.25">
      <c r="B12" s="80" t="e">
        <f>SUM(B4:B11)</f>
        <v>#REF!</v>
      </c>
      <c r="C12" s="1" t="e">
        <f>SUM(C4:C11)</f>
        <v>#REF!</v>
      </c>
    </row>
  </sheetData>
  <pageMargins left="0.7" right="0.7" top="0.75" bottom="0.75" header="0.3" footer="0.3"/>
  <pageSetup orientation="portrait" r:id="rId1"/>
  <ignoredErrors>
    <ignoredError sqref="B4:B11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A7A2-A629-4C5B-B1F3-30DBDCA90B5B}">
  <dimension ref="B3:K12"/>
  <sheetViews>
    <sheetView workbookViewId="0">
      <selection activeCell="B4" sqref="B4:K12"/>
    </sheetView>
  </sheetViews>
  <sheetFormatPr defaultRowHeight="15" x14ac:dyDescent="0.25"/>
  <cols>
    <col min="3" max="3" width="13.5703125" customWidth="1"/>
    <col min="5" max="5" width="13.7109375" customWidth="1"/>
    <col min="7" max="7" width="13.7109375" customWidth="1"/>
    <col min="9" max="9" width="13.7109375" customWidth="1"/>
    <col min="11" max="11" width="13.5703125" customWidth="1"/>
  </cols>
  <sheetData>
    <row r="3" spans="2:11" ht="15.75" thickBot="1" x14ac:dyDescent="0.3"/>
    <row r="4" spans="2:11" ht="20.25" x14ac:dyDescent="0.25">
      <c r="B4" s="299" t="s">
        <v>67</v>
      </c>
      <c r="C4" s="300"/>
      <c r="D4" s="300"/>
      <c r="E4" s="300"/>
      <c r="F4" s="300"/>
      <c r="G4" s="300"/>
      <c r="H4" s="300"/>
      <c r="I4" s="300"/>
      <c r="J4" s="300"/>
      <c r="K4" s="301"/>
    </row>
    <row r="5" spans="2:11" ht="10.5" customHeight="1" x14ac:dyDescent="0.25">
      <c r="B5" s="78"/>
      <c r="C5" s="77"/>
      <c r="D5" s="77"/>
      <c r="E5" s="77"/>
      <c r="F5" s="77"/>
      <c r="G5" s="77"/>
      <c r="H5" s="77"/>
      <c r="I5" s="77"/>
      <c r="J5" s="77"/>
      <c r="K5" s="79"/>
    </row>
    <row r="6" spans="2:11" ht="23.25" customHeight="1" x14ac:dyDescent="0.25">
      <c r="B6" s="93" t="s">
        <v>68</v>
      </c>
      <c r="C6" s="94"/>
      <c r="D6" s="95" t="s">
        <v>69</v>
      </c>
      <c r="E6" s="96"/>
      <c r="F6" s="95" t="s">
        <v>69</v>
      </c>
      <c r="G6" s="96"/>
      <c r="H6" s="95" t="s">
        <v>69</v>
      </c>
      <c r="I6" s="96"/>
      <c r="J6" s="302" t="s">
        <v>69</v>
      </c>
      <c r="K6" s="303"/>
    </row>
    <row r="7" spans="2:11" ht="19.5" x14ac:dyDescent="0.25">
      <c r="B7" s="82">
        <f>'Funding Plan'!I12</f>
        <v>2024</v>
      </c>
      <c r="C7" s="88">
        <f>'Funding Plan'!I14</f>
        <v>2000</v>
      </c>
      <c r="D7" s="99">
        <f>B12+1</f>
        <v>2030</v>
      </c>
      <c r="E7" s="92">
        <f>'Funding Plan'!U14</f>
        <v>2186.8865278852795</v>
      </c>
      <c r="F7" s="102">
        <f>D12+1</f>
        <v>2036</v>
      </c>
      <c r="G7" s="91">
        <f>'Funding Plan'!AG14</f>
        <v>2391.2363429230672</v>
      </c>
      <c r="H7" s="99">
        <f>F12+1</f>
        <v>2042</v>
      </c>
      <c r="I7" s="92">
        <f>'Funding Plan'!O31</f>
        <v>2614.6812716640611</v>
      </c>
      <c r="J7" s="102">
        <f>H12+1</f>
        <v>2048</v>
      </c>
      <c r="K7" s="85">
        <f>'Funding Plan'!AA31</f>
        <v>2859.0056238580437</v>
      </c>
    </row>
    <row r="8" spans="2:11" ht="19.5" x14ac:dyDescent="0.25">
      <c r="B8" s="97">
        <f>B7+1</f>
        <v>2025</v>
      </c>
      <c r="C8" s="89">
        <f>'Funding Plan'!K14</f>
        <v>2029.9999999999998</v>
      </c>
      <c r="D8" s="100">
        <f>D7+1</f>
        <v>2031</v>
      </c>
      <c r="E8" s="83">
        <f>'Funding Plan'!W14</f>
        <v>2219.6898258035585</v>
      </c>
      <c r="F8" s="103">
        <f>F7+1</f>
        <v>2037</v>
      </c>
      <c r="G8" s="89">
        <f>'Funding Plan'!AI14</f>
        <v>2427.1048880669132</v>
      </c>
      <c r="H8" s="100">
        <f>H7+1</f>
        <v>2043</v>
      </c>
      <c r="I8" s="83">
        <f>'Funding Plan'!Q31</f>
        <v>2653.9014907390219</v>
      </c>
      <c r="J8" s="103">
        <f>J7+1</f>
        <v>2049</v>
      </c>
      <c r="K8" s="86">
        <f>'Funding Plan'!AC31</f>
        <v>2901.8907082159139</v>
      </c>
    </row>
    <row r="9" spans="2:11" ht="19.5" x14ac:dyDescent="0.25">
      <c r="B9" s="97">
        <f>B8+1</f>
        <v>2026</v>
      </c>
      <c r="C9" s="89">
        <f>'Funding Plan'!M14</f>
        <v>2060.4499999999994</v>
      </c>
      <c r="D9" s="100">
        <f>D8+1</f>
        <v>2032</v>
      </c>
      <c r="E9" s="83">
        <f>'Funding Plan'!Y14</f>
        <v>2252.9851731906115</v>
      </c>
      <c r="F9" s="103">
        <f>F8+1</f>
        <v>2038</v>
      </c>
      <c r="G9" s="89">
        <f>'Funding Plan'!AK14</f>
        <v>2463.5114613879168</v>
      </c>
      <c r="H9" s="100">
        <f>H8+1</f>
        <v>2044</v>
      </c>
      <c r="I9" s="83">
        <f>'Funding Plan'!S31</f>
        <v>2693.7100131001071</v>
      </c>
      <c r="J9" s="103">
        <f>J8+1</f>
        <v>2050</v>
      </c>
      <c r="K9" s="86">
        <f>'Funding Plan'!AE31</f>
        <v>2945.4190688391523</v>
      </c>
    </row>
    <row r="10" spans="2:11" ht="19.5" x14ac:dyDescent="0.25">
      <c r="B10" s="97">
        <f>B9+1</f>
        <v>2027</v>
      </c>
      <c r="C10" s="89">
        <f>'Funding Plan'!O14</f>
        <v>2091.356749999999</v>
      </c>
      <c r="D10" s="100">
        <f>D9+1</f>
        <v>2033</v>
      </c>
      <c r="E10" s="83">
        <f>'Funding Plan'!AA14</f>
        <v>2286.7799507884706</v>
      </c>
      <c r="F10" s="103">
        <f>F9+1</f>
        <v>2039</v>
      </c>
      <c r="G10" s="89">
        <f>'Funding Plan'!I31</f>
        <v>2500.4641333087352</v>
      </c>
      <c r="H10" s="100">
        <f>H9+1</f>
        <v>2045</v>
      </c>
      <c r="I10" s="83">
        <f>'Funding Plan'!U31</f>
        <v>2734.1156632966085</v>
      </c>
      <c r="J10" s="103">
        <f>J9+1</f>
        <v>2051</v>
      </c>
      <c r="K10" s="86">
        <f>'Funding Plan'!AG31</f>
        <v>2989.6003548717395</v>
      </c>
    </row>
    <row r="11" spans="2:11" ht="19.5" x14ac:dyDescent="0.25">
      <c r="B11" s="97">
        <f>B10+1</f>
        <v>2028</v>
      </c>
      <c r="C11" s="89">
        <f>'Funding Plan'!Q14</f>
        <v>2122.7271012499987</v>
      </c>
      <c r="D11" s="100">
        <f>D10+1</f>
        <v>2034</v>
      </c>
      <c r="E11" s="83">
        <f>'Funding Plan'!AC14</f>
        <v>2321.0816500502974</v>
      </c>
      <c r="F11" s="103">
        <f>F10+1</f>
        <v>2040</v>
      </c>
      <c r="G11" s="89">
        <f>'Funding Plan'!K31</f>
        <v>2537.9710953083659</v>
      </c>
      <c r="H11" s="100">
        <f>H10+1</f>
        <v>2046</v>
      </c>
      <c r="I11" s="83">
        <f>'Funding Plan'!W31</f>
        <v>2775.1273982460575</v>
      </c>
      <c r="J11" s="103">
        <f>J10+1</f>
        <v>2052</v>
      </c>
      <c r="K11" s="86">
        <f>'Funding Plan'!AI31</f>
        <v>3034.4443601948151</v>
      </c>
    </row>
    <row r="12" spans="2:11" ht="20.25" thickBot="1" x14ac:dyDescent="0.3">
      <c r="B12" s="98">
        <f>B11+1</f>
        <v>2029</v>
      </c>
      <c r="C12" s="90">
        <f>'Funding Plan'!S14</f>
        <v>2154.5680077687484</v>
      </c>
      <c r="D12" s="101">
        <f>D11+1</f>
        <v>2035</v>
      </c>
      <c r="E12" s="84">
        <f>'Funding Plan'!AE14</f>
        <v>2355.8978748010518</v>
      </c>
      <c r="F12" s="104">
        <f>F11+1</f>
        <v>2041</v>
      </c>
      <c r="G12" s="90">
        <f>'Funding Plan'!M31</f>
        <v>2576.0406617379913</v>
      </c>
      <c r="H12" s="101">
        <f>H11+1</f>
        <v>2047</v>
      </c>
      <c r="I12" s="84">
        <f>'Funding Plan'!Y31</f>
        <v>2816.7543092197479</v>
      </c>
      <c r="J12" s="104">
        <f>J11+1</f>
        <v>2053</v>
      </c>
      <c r="K12" s="87">
        <f>'Funding Plan'!AK31</f>
        <v>3079.9610255977368</v>
      </c>
    </row>
  </sheetData>
  <mergeCells count="2">
    <mergeCell ref="B4:K4"/>
    <mergeCell ref="J6:K6"/>
  </mergeCells>
  <pageMargins left="0.7" right="0.7" top="0.75" bottom="0.75" header="0.3" footer="0.3"/>
  <pageSetup orientation="portrait" verticalDpi="0" r:id="rId1"/>
  <ignoredErrors>
    <ignoredError sqref="C8 C9:C12 E7:E12 G7:G12 I7:I12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62E7-EFD7-4DC3-887E-18BB931E53DE}">
  <dimension ref="B2:F16"/>
  <sheetViews>
    <sheetView workbookViewId="0">
      <selection activeCell="K14" sqref="K14"/>
    </sheetView>
  </sheetViews>
  <sheetFormatPr defaultRowHeight="15" x14ac:dyDescent="0.25"/>
  <cols>
    <col min="1" max="1" width="4.5703125" customWidth="1"/>
    <col min="2" max="3" width="18.42578125" customWidth="1"/>
    <col min="4" max="5" width="18.28515625" customWidth="1"/>
    <col min="6" max="6" width="18.140625" customWidth="1"/>
    <col min="7" max="7" width="4" customWidth="1"/>
  </cols>
  <sheetData>
    <row r="2" spans="2:6" ht="15.75" thickBot="1" x14ac:dyDescent="0.3"/>
    <row r="3" spans="2:6" ht="24.75" customHeight="1" x14ac:dyDescent="0.25">
      <c r="B3" s="304" t="s">
        <v>50</v>
      </c>
      <c r="C3" s="306" t="s">
        <v>51</v>
      </c>
      <c r="D3" s="306" t="s">
        <v>52</v>
      </c>
      <c r="E3" s="306" t="s">
        <v>53</v>
      </c>
      <c r="F3" s="308" t="s">
        <v>83</v>
      </c>
    </row>
    <row r="4" spans="2:6" ht="29.25" customHeight="1" x14ac:dyDescent="0.25">
      <c r="B4" s="305"/>
      <c r="C4" s="307"/>
      <c r="D4" s="307"/>
      <c r="E4" s="307"/>
      <c r="F4" s="309"/>
    </row>
    <row r="5" spans="2:6" ht="9.75" customHeight="1" x14ac:dyDescent="0.25">
      <c r="B5" s="108"/>
      <c r="C5" s="109"/>
      <c r="D5" s="109"/>
      <c r="E5" s="109"/>
      <c r="F5" s="110"/>
    </row>
    <row r="6" spans="2:6" x14ac:dyDescent="0.25">
      <c r="B6" s="318" t="s">
        <v>71</v>
      </c>
      <c r="C6" s="320"/>
      <c r="D6" s="320">
        <v>1000</v>
      </c>
      <c r="E6" s="322">
        <f>D6/D15</f>
        <v>0.2</v>
      </c>
      <c r="F6" s="324"/>
    </row>
    <row r="7" spans="2:6" x14ac:dyDescent="0.25">
      <c r="B7" s="319"/>
      <c r="C7" s="321"/>
      <c r="D7" s="321"/>
      <c r="E7" s="323"/>
      <c r="F7" s="325"/>
    </row>
    <row r="8" spans="2:6" x14ac:dyDescent="0.25">
      <c r="B8" s="319" t="s">
        <v>72</v>
      </c>
      <c r="C8" s="321"/>
      <c r="D8" s="321">
        <v>1000</v>
      </c>
      <c r="E8" s="323">
        <f>D8/D15</f>
        <v>0.2</v>
      </c>
      <c r="F8" s="325"/>
    </row>
    <row r="9" spans="2:6" x14ac:dyDescent="0.25">
      <c r="B9" s="319"/>
      <c r="C9" s="331"/>
      <c r="D9" s="331"/>
      <c r="E9" s="323"/>
      <c r="F9" s="330"/>
    </row>
    <row r="10" spans="2:6" x14ac:dyDescent="0.25">
      <c r="B10" s="319" t="s">
        <v>73</v>
      </c>
      <c r="C10" s="321"/>
      <c r="D10" s="321">
        <v>1000</v>
      </c>
      <c r="E10" s="323">
        <f>D10/D15</f>
        <v>0.2</v>
      </c>
      <c r="F10" s="325"/>
    </row>
    <row r="11" spans="2:6" x14ac:dyDescent="0.25">
      <c r="B11" s="319"/>
      <c r="C11" s="331"/>
      <c r="D11" s="331"/>
      <c r="E11" s="323"/>
      <c r="F11" s="330"/>
    </row>
    <row r="12" spans="2:6" x14ac:dyDescent="0.25">
      <c r="B12" s="319" t="s">
        <v>74</v>
      </c>
      <c r="C12" s="321"/>
      <c r="D12" s="321">
        <v>2000</v>
      </c>
      <c r="E12" s="323">
        <f>D12/D15</f>
        <v>0.4</v>
      </c>
      <c r="F12" s="325"/>
    </row>
    <row r="13" spans="2:6" x14ac:dyDescent="0.25">
      <c r="B13" s="326"/>
      <c r="C13" s="327"/>
      <c r="D13" s="327"/>
      <c r="E13" s="328"/>
      <c r="F13" s="329"/>
    </row>
    <row r="14" spans="2:6" ht="11.25" customHeight="1" x14ac:dyDescent="0.25">
      <c r="B14" s="111"/>
      <c r="C14" s="112"/>
      <c r="D14" s="112"/>
      <c r="E14" s="113"/>
      <c r="F14" s="114"/>
    </row>
    <row r="15" spans="2:6" x14ac:dyDescent="0.25">
      <c r="B15" s="310" t="s">
        <v>58</v>
      </c>
      <c r="C15" s="312">
        <f>SUM(C6:C13)</f>
        <v>0</v>
      </c>
      <c r="D15" s="312">
        <f>SUM(D6:D13)</f>
        <v>5000</v>
      </c>
      <c r="E15" s="314">
        <f>SUM(E6:E13)</f>
        <v>1</v>
      </c>
      <c r="F15" s="316">
        <f>SUM(F6:F13)</f>
        <v>0</v>
      </c>
    </row>
    <row r="16" spans="2:6" ht="15.75" thickBot="1" x14ac:dyDescent="0.3">
      <c r="B16" s="311"/>
      <c r="C16" s="313"/>
      <c r="D16" s="313"/>
      <c r="E16" s="315"/>
      <c r="F16" s="317"/>
    </row>
  </sheetData>
  <mergeCells count="30">
    <mergeCell ref="F8:F9"/>
    <mergeCell ref="F10:F11"/>
    <mergeCell ref="E8:E9"/>
    <mergeCell ref="E10:E11"/>
    <mergeCell ref="B8:B9"/>
    <mergeCell ref="B10:B11"/>
    <mergeCell ref="C8:C9"/>
    <mergeCell ref="C10:C11"/>
    <mergeCell ref="D8:D9"/>
    <mergeCell ref="D10:D11"/>
    <mergeCell ref="B6:B7"/>
    <mergeCell ref="C6:C7"/>
    <mergeCell ref="D6:D7"/>
    <mergeCell ref="E6:E7"/>
    <mergeCell ref="F6:F7"/>
    <mergeCell ref="B12:B13"/>
    <mergeCell ref="C12:C13"/>
    <mergeCell ref="D12:D13"/>
    <mergeCell ref="E12:E13"/>
    <mergeCell ref="F12:F13"/>
    <mergeCell ref="B3:B4"/>
    <mergeCell ref="C3:C4"/>
    <mergeCell ref="D3:D4"/>
    <mergeCell ref="E3:E4"/>
    <mergeCell ref="F3:F4"/>
    <mergeCell ref="B15:B16"/>
    <mergeCell ref="C15:C16"/>
    <mergeCell ref="D15:D16"/>
    <mergeCell ref="E15:E16"/>
    <mergeCell ref="F15:F16"/>
  </mergeCells>
  <pageMargins left="0.25" right="0.25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8919-27EE-4E52-8BFD-301AB7ED7104}">
  <dimension ref="B1:C11"/>
  <sheetViews>
    <sheetView workbookViewId="0">
      <selection activeCell="J22" sqref="J22"/>
    </sheetView>
  </sheetViews>
  <sheetFormatPr defaultRowHeight="15" x14ac:dyDescent="0.25"/>
  <cols>
    <col min="2" max="2" width="65.5703125" customWidth="1"/>
    <col min="3" max="3" width="12.7109375" customWidth="1"/>
  </cols>
  <sheetData>
    <row r="1" spans="2:3" ht="59.25" customHeight="1" thickBot="1" x14ac:dyDescent="0.3"/>
    <row r="2" spans="2:3" ht="22.5" customHeight="1" x14ac:dyDescent="0.25">
      <c r="B2" s="123" t="s">
        <v>54</v>
      </c>
      <c r="C2" s="115"/>
    </row>
    <row r="3" spans="2:3" ht="9.75" customHeight="1" x14ac:dyDescent="0.25">
      <c r="B3" s="75"/>
      <c r="C3" s="76"/>
    </row>
    <row r="4" spans="2:3" ht="22.5" customHeight="1" x14ac:dyDescent="0.25">
      <c r="B4" s="125" t="s">
        <v>84</v>
      </c>
      <c r="C4" s="126">
        <f>'Funding Plan'!S5</f>
        <v>1111</v>
      </c>
    </row>
    <row r="5" spans="2:3" ht="22.5" customHeight="1" x14ac:dyDescent="0.25">
      <c r="B5" s="127" t="s">
        <v>85</v>
      </c>
      <c r="C5" s="128">
        <f>'Funding Plan'!I14</f>
        <v>2000</v>
      </c>
    </row>
    <row r="6" spans="2:3" ht="22.5" customHeight="1" x14ac:dyDescent="0.25">
      <c r="B6" s="127" t="s">
        <v>55</v>
      </c>
      <c r="C6" s="128">
        <f>'Funding Plan'!I16</f>
        <v>10.157452951876621</v>
      </c>
    </row>
    <row r="7" spans="2:3" ht="22.5" customHeight="1" x14ac:dyDescent="0.25">
      <c r="B7" s="117" t="s">
        <v>56</v>
      </c>
      <c r="C7" s="118" t="e">
        <f>'Funding Plan'!I17</f>
        <v>#REF!</v>
      </c>
    </row>
    <row r="8" spans="2:3" ht="9" customHeight="1" x14ac:dyDescent="0.25">
      <c r="B8" s="81"/>
      <c r="C8" s="119"/>
    </row>
    <row r="9" spans="2:3" ht="22.5" customHeight="1" thickBot="1" x14ac:dyDescent="0.3">
      <c r="B9" s="124" t="s">
        <v>86</v>
      </c>
      <c r="C9" s="116" t="e">
        <f>'Funding Plan'!I20</f>
        <v>#REF!</v>
      </c>
    </row>
    <row r="11" spans="2:3" ht="16.5" x14ac:dyDescent="0.25">
      <c r="B11" s="74" t="s">
        <v>57</v>
      </c>
    </row>
  </sheetData>
  <pageMargins left="0.25" right="0.25" top="0.75" bottom="0.75" header="0.3" footer="0.3"/>
  <pageSetup orientation="portrait" verticalDpi="0" r:id="rId1"/>
  <ignoredErrors>
    <ignoredError sqref="C9 C6:C7" evalError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CAD1-AD51-430F-A15E-EF4566CA6116}">
  <dimension ref="A1"/>
  <sheetViews>
    <sheetView topLeftCell="A4" workbookViewId="0">
      <selection activeCell="M13" sqref="M13"/>
    </sheetView>
  </sheetViews>
  <sheetFormatPr defaultRowHeight="15" x14ac:dyDescent="0.25"/>
  <sheetData/>
  <printOptions horizontalCentered="1"/>
  <pageMargins left="0.7" right="0.7" top="0.75" bottom="0.75" header="0.3" footer="0.3"/>
  <pageSetup orientation="landscape" copies="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5DD5-EF08-49CF-BA59-1C8DB6450A5E}">
  <dimension ref="A1"/>
  <sheetViews>
    <sheetView zoomScaleNormal="100" workbookViewId="0">
      <selection activeCell="J31" sqref="J31"/>
    </sheetView>
  </sheetViews>
  <sheetFormatPr defaultRowHeight="15" x14ac:dyDescent="0.25"/>
  <cols>
    <col min="1" max="1" width="3.85546875" customWidth="1"/>
    <col min="13" max="13" width="9.28515625" customWidth="1"/>
  </cols>
  <sheetData/>
  <pageMargins left="0.7" right="0.7" top="2" bottom="0.75" header="1.8" footer="0.3"/>
  <pageSetup orientation="landscape" copies="3" r:id="rId1"/>
  <headerFooter>
    <oddHeader>&amp;C&amp;"-,Bold"&amp;14Recomended Reserve Funding Plan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Roofs 1</vt:lpstr>
      <vt:lpstr>Maintain (PRN) 1</vt:lpstr>
      <vt:lpstr>Maintain (PRN) 2</vt:lpstr>
      <vt:lpstr>Roofs 2</vt:lpstr>
      <vt:lpstr>Roofs 3</vt:lpstr>
      <vt:lpstr>Combo 1</vt:lpstr>
      <vt:lpstr>Combo 2</vt:lpstr>
      <vt:lpstr>Funding Plan</vt:lpstr>
      <vt:lpstr>Funding Plan 2</vt:lpstr>
      <vt:lpstr>Allocation</vt:lpstr>
      <vt:lpstr>Contributions</vt:lpstr>
      <vt:lpstr>Component %</vt:lpstr>
      <vt:lpstr>Mgmt Info</vt:lpstr>
      <vt:lpstr>Pie</vt:lpstr>
      <vt:lpstr>Graph</vt:lpstr>
      <vt:lpstr>'Combo 1'!Print_Area</vt:lpstr>
      <vt:lpstr>'Combo 2'!Print_Area</vt:lpstr>
      <vt:lpstr>'Maintain (PRN)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jripple</dc:creator>
  <cp:lastModifiedBy>Jason Zurowski</cp:lastModifiedBy>
  <cp:lastPrinted>2022-11-28T19:09:10Z</cp:lastPrinted>
  <dcterms:created xsi:type="dcterms:W3CDTF">2007-11-08T16:36:21Z</dcterms:created>
  <dcterms:modified xsi:type="dcterms:W3CDTF">2026-01-05T06:53:22Z</dcterms:modified>
</cp:coreProperties>
</file>